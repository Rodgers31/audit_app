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2026 Economic Survey (1)\2026 Economic Survey\Chapter 15 Education and Training\"/>
    </mc:Choice>
  </mc:AlternateContent>
  <xr:revisionPtr revIDLastSave="0" documentId="13_ncr:1_{DC89F868-7816-4627-AAE7-62E4021F377E}" xr6:coauthVersionLast="47" xr6:coauthVersionMax="47" xr10:uidLastSave="{00000000-0000-0000-0000-000000000000}"/>
  <bookViews>
    <workbookView xWindow="-110" yWindow="-110" windowWidth="19420" windowHeight="10420" firstSheet="9" activeTab="15" xr2:uid="{00000000-000D-0000-FFFF-FFFF00000000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  <sheet name="Table 5.14" sheetId="14" r:id="rId14"/>
    <sheet name="Table 5.15" sheetId="15" r:id="rId15"/>
    <sheet name="Table 5.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0" roundtripDataChecksum="iVnGUL4a6qTH1FGG6wQz9gHI4LVhs3EfZocImQip+ok="/>
    </ext>
  </extLst>
</workbook>
</file>

<file path=xl/calcChain.xml><?xml version="1.0" encoding="utf-8"?>
<calcChain xmlns="http://schemas.openxmlformats.org/spreadsheetml/2006/main">
  <c r="H15" i="11" l="1"/>
  <c r="H14" i="11"/>
  <c r="H13" i="11"/>
  <c r="H12" i="11"/>
  <c r="L9" i="7"/>
  <c r="L7" i="7"/>
  <c r="M12" i="6"/>
</calcChain>
</file>

<file path=xl/sharedStrings.xml><?xml version="1.0" encoding="utf-8"?>
<sst xmlns="http://schemas.openxmlformats.org/spreadsheetml/2006/main" count="856" uniqueCount="512">
  <si>
    <t>Table 5.1: Statement of National Government Operations, 2015/16-2025/26</t>
  </si>
  <si>
    <t>KSh Million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</si>
  <si>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</si>
  <si>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</si>
  <si>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</si>
  <si>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</si>
  <si>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</si>
  <si>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</si>
  <si>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</si>
  <si>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</si>
  <si>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</si>
  <si>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</si>
  <si>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2025/26*</t>
  </si>
  <si>
    <t>2.1 Current Expenditure …………………</t>
  </si>
  <si>
    <t>2.2 Capital Transfers ……………………</t>
  </si>
  <si>
    <t>3. Gross Operating Balance (1-2) …....…......................</t>
  </si>
  <si>
    <t>4.  Acquisition of Non-Financial Assets(net)…</t>
  </si>
  <si>
    <t>5. Net lending/Borrowing  (3-4)……………………..</t>
  </si>
  <si>
    <t xml:space="preserve"> FINANCING (6-7)…………………………………..</t>
  </si>
  <si>
    <t xml:space="preserve">    6.1.  Domestic………………………………………..</t>
  </si>
  <si>
    <t xml:space="preserve">    6.2.  External………………………………………</t>
  </si>
  <si>
    <t>-</t>
  </si>
  <si>
    <t xml:space="preserve"> -   </t>
  </si>
  <si>
    <t xml:space="preserve">    7.1. Domestic……………………………………….</t>
  </si>
  <si>
    <t xml:space="preserve">    7.2. Foreign………………………………</t>
  </si>
  <si>
    <t>MEMORANDUM ITEMS:</t>
  </si>
  <si>
    <t>8. Public debt redemption…………………………….</t>
  </si>
  <si>
    <t xml:space="preserve">    8.1. External .. .. .. .. …………………………………..</t>
  </si>
  <si>
    <t xml:space="preserve">    8.2. Internal .. .. .. .. …………………………………..</t>
  </si>
  <si>
    <t>* Provisional</t>
  </si>
  <si>
    <t>Table 5.2:  Analysis of key fiscal ratios, 2015/16 -2025/26</t>
  </si>
  <si>
    <t>percent</t>
  </si>
  <si>
    <t>Indicator</t>
  </si>
  <si>
    <t>Gross operating balance as a % of Ordinary Revenue</t>
  </si>
  <si>
    <t>Ratio of Acquisition of Non financial assets (net) to Current Expenditure</t>
  </si>
  <si>
    <t>Net lending/Borrowing as % of Ordinary Revenue</t>
  </si>
  <si>
    <t>Net lending/Borrowing as % of Total Expenditure</t>
  </si>
  <si>
    <t>External Grants as % of Acquisition of Non financial assets (net)</t>
  </si>
  <si>
    <t>Net Short-Term Borrowing as % of Acquisition of nonfinancial assets (net)</t>
  </si>
  <si>
    <t>Ordinary Revenue as % of GDP at Current Market Prices</t>
  </si>
  <si>
    <t>Total Government Expenditure as % of GDP at Current Market Prices</t>
  </si>
  <si>
    <t>Net lending/Borrowing as % of GDP at Current Market Prices</t>
  </si>
  <si>
    <t>*Provisional</t>
  </si>
  <si>
    <t>Table 5.3: Comparison of National Government Budget Estimates with Actual out-turns 2015/16 -2025/26</t>
  </si>
  <si>
    <t>Budget</t>
  </si>
  <si>
    <t>Actual</t>
  </si>
  <si>
    <t>Difference</t>
  </si>
  <si>
    <t>Total Ordinary Revenue .. .. .. .. .. ………</t>
  </si>
  <si>
    <t>Recurrent Balance  ..  ..  ..  ..  ..   ..  .. ……………</t>
  </si>
  <si>
    <t>Development Expenditure ………………..</t>
  </si>
  <si>
    <t>Balance for Domestic Financing (Net)…….</t>
  </si>
  <si>
    <t>2018/19*</t>
  </si>
  <si>
    <t xml:space="preserve">  Actual</t>
  </si>
  <si>
    <t xml:space="preserve">  Budget</t>
  </si>
  <si>
    <t>Total Ordinary Revenue ..  ..  ..  ..  ..  …………....  ..</t>
  </si>
  <si>
    <t>Balance for Domestic Financing (Net)……..</t>
  </si>
  <si>
    <t>2024/25*</t>
  </si>
  <si>
    <t>2025/26</t>
  </si>
  <si>
    <t xml:space="preserve"> Printed 
Budget</t>
  </si>
  <si>
    <t xml:space="preserve">Revised 
Budget </t>
  </si>
  <si>
    <t>Printed Budget</t>
  </si>
  <si>
    <t>Revised Budget</t>
  </si>
  <si>
    <t>Total Ordinary Revenue ..  ..  ..  ..  .</t>
  </si>
  <si>
    <t xml:space="preserve">Recurrent Expenditure ..  ..  ..  ..  .. …………. </t>
  </si>
  <si>
    <t xml:space="preserve">Recurrent Balance  ..  ..  ..  ..  ..   ..  .. </t>
  </si>
  <si>
    <t xml:space="preserve">Source: The National Treasury </t>
  </si>
  <si>
    <t xml:space="preserve">* Provisional </t>
  </si>
  <si>
    <t xml:space="preserve">  1 Includes external grants</t>
  </si>
  <si>
    <t>Table 5.4: National Government Revenue, 2015/16 - 2025/26</t>
  </si>
  <si>
    <t>Ksh Million</t>
  </si>
  <si>
    <t>Income tax from individuals (P.A.Y.E) .. .. ……</t>
  </si>
  <si>
    <t>Income tax from corporations (other income tax) ..</t>
  </si>
  <si>
    <t>Value Added Tax (VAT) ……………………</t>
  </si>
  <si>
    <t>VAT on domestic goods and services .. .. .. .. .</t>
  </si>
  <si>
    <t>VAT on imported goods and services .. . .. .</t>
  </si>
  <si>
    <t>Taxes on other goods and services………</t>
  </si>
  <si>
    <t>Taxes on financial and capital transactions 2</t>
  </si>
  <si>
    <t>Excise taxes .. .. .. .. .. .. .. .. …………</t>
  </si>
  <si>
    <t>Taxes on use of goods and on permission to use the  goods or to perform services and activities .. .. ……………………….</t>
  </si>
  <si>
    <t xml:space="preserve">Taxes on goods and services collected as AIA </t>
  </si>
  <si>
    <t>Taxes on international trade transactions…</t>
  </si>
  <si>
    <t xml:space="preserve">Custom duties  .. .. .. .. .. </t>
  </si>
  <si>
    <t>Other taxes on international trade and transactions .</t>
  </si>
  <si>
    <t>TOTAL TAX REVENUE……………</t>
  </si>
  <si>
    <t>Social security contributions .. .. …………</t>
  </si>
  <si>
    <t>Property income .. .. .. .. ..</t>
  </si>
  <si>
    <t>Sale of goods and services .. .. .. ..</t>
  </si>
  <si>
    <t>Fines penalties and forfeitures .. …………</t>
  </si>
  <si>
    <t>Ministerial Appropriation in Aid……….</t>
  </si>
  <si>
    <t xml:space="preserve">Other receipts not elsewhere classified .. .. .. </t>
  </si>
  <si>
    <t>TOTAL NON-TAX REVENUE………………</t>
  </si>
  <si>
    <t>TOTAL ORDINARY REVENUE……………</t>
  </si>
  <si>
    <t>Source: The National Treasury</t>
  </si>
  <si>
    <t>1 What was initially classified under capital gains tax has been reclassified under taxes on financial and capital transactions</t>
  </si>
  <si>
    <t>2 Taxes on financial and capital transactions include what was initially Capital Gain Tax,Second Hand motor vehicle tax and stamp duty which was previously classified under “Other taxes not elsewhere classified</t>
  </si>
  <si>
    <t>Table 5.5: Import Duty Collections on Selected Categories of Commodities,2015-2025</t>
  </si>
  <si>
    <t>End-Use Category</t>
  </si>
  <si>
    <t>2025*</t>
  </si>
  <si>
    <t xml:space="preserve">Food, drinks and tobacco </t>
  </si>
  <si>
    <t xml:space="preserve">Basic materials  </t>
  </si>
  <si>
    <t xml:space="preserve">Fuels </t>
  </si>
  <si>
    <t xml:space="preserve">Chemicals </t>
  </si>
  <si>
    <t xml:space="preserve">Textiles </t>
  </si>
  <si>
    <t xml:space="preserve">Metals  </t>
  </si>
  <si>
    <t xml:space="preserve">Transport equipment  </t>
  </si>
  <si>
    <t xml:space="preserve">Machinery  </t>
  </si>
  <si>
    <t xml:space="preserve">Miscellaneous commodities  </t>
  </si>
  <si>
    <t xml:space="preserve">TOTAL </t>
  </si>
  <si>
    <t>Source: Kenya Revenue Authority</t>
  </si>
  <si>
    <t>Table 5.6: Excise Revenue Levied on Commodities and Services1, 2015-2026</t>
  </si>
  <si>
    <t>Beer</t>
  </si>
  <si>
    <t>Wines and Spirits</t>
  </si>
  <si>
    <t>Mineral Water, Soft Drinks and Juices</t>
  </si>
  <si>
    <t>Cigarettes</t>
  </si>
  <si>
    <t>Airtime</t>
  </si>
  <si>
    <t xml:space="preserve">Financial Services </t>
  </si>
  <si>
    <t>o/w: Excise on Internet (Data)</t>
  </si>
  <si>
    <t xml:space="preserve">                  Total</t>
  </si>
  <si>
    <t>Provisional</t>
  </si>
  <si>
    <t>2 Other Commodities include; Chocolate, Food Supplements, Plastics, Cosmetics, Excise on Betting, Excise on Internet (Data) &amp; Direct Deposits to CBK</t>
  </si>
  <si>
    <t xml:space="preserve"> Excise on Internet (Data) &amp; Direct Deposits to CBK.</t>
  </si>
  <si>
    <t>Table 5.7: National Government Financing of Non-Financial Assets, 2015/16 -2025/26</t>
  </si>
  <si>
    <t>EXPENDITURE:</t>
  </si>
  <si>
    <t>Acquisition of Non financial Assets+ (Net)…</t>
  </si>
  <si>
    <t>FINANCING:</t>
  </si>
  <si>
    <t>External Grants  ..  ..  ..  ..  .. …………………..</t>
  </si>
  <si>
    <t>LONG TERM BORROWING</t>
  </si>
  <si>
    <t>External Borrowing   ..  ..  .. ……………………..</t>
  </si>
  <si>
    <t>Long-Term Domestic Borrowing (Net)…..</t>
  </si>
  <si>
    <t>SHORT TERM BORROWING:</t>
  </si>
  <si>
    <t>Treasury Bills (Net) ..  ..  ..  .. ……………….</t>
  </si>
  <si>
    <t>Other Short-Term Borrowing (Net) ……….</t>
  </si>
  <si>
    <t>1 Balancing Item</t>
  </si>
  <si>
    <t>Table 5.8: Classification of National Government Expenditure by Functions of Government (COFOG), 2015/16-2025/26</t>
  </si>
  <si>
    <t>Recurrent Account</t>
  </si>
  <si>
    <t>Development Account</t>
  </si>
  <si>
    <t>Total</t>
  </si>
  <si>
    <t>143, 067. 52</t>
  </si>
  <si>
    <t>73, 842. 45</t>
  </si>
  <si>
    <t>216, 909. 96</t>
  </si>
  <si>
    <t>Public debt transactions .. ..(INTEREST)</t>
  </si>
  <si>
    <t>438, 225. 22</t>
  </si>
  <si>
    <t>Transfers of general character betw. levels of govt.</t>
  </si>
  <si>
    <t>264, 038. 64</t>
  </si>
  <si>
    <t>Defense .. .. ……………</t>
  </si>
  <si>
    <t>140, 588. 80</t>
  </si>
  <si>
    <t>Public order and safety .. .. .. …………………….. ………………………………… .. …………………………….</t>
  </si>
  <si>
    <t>110, 563. 98</t>
  </si>
  <si>
    <t>15, 709. 62</t>
  </si>
  <si>
    <t>126, 273. 60</t>
  </si>
  <si>
    <t>Economic affairs ……………………………….………………………………… .. …………………………….</t>
  </si>
  <si>
    <t>63, 523. 49</t>
  </si>
  <si>
    <t>305, 979. 93</t>
  </si>
  <si>
    <t>369, 503. 41</t>
  </si>
  <si>
    <t>General economic, commercial &amp; labour affairs…..</t>
  </si>
  <si>
    <t>12, 068. 92</t>
  </si>
  <si>
    <t>50, 016. 94</t>
  </si>
  <si>
    <t>62, 085. 86</t>
  </si>
  <si>
    <t>Agriculture, forestry, fishing, and hunting .. .. …….………………………………… .. …………………………….</t>
  </si>
  <si>
    <t>9, 956. 39</t>
  </si>
  <si>
    <t>21, 587. 48</t>
  </si>
  <si>
    <t>31, 543. 87</t>
  </si>
  <si>
    <t>Fuel and energy .. .. .. …………………………….………………………………… .. …………………………….</t>
  </si>
  <si>
    <t>1, 707. 49</t>
  </si>
  <si>
    <t>71, 506. 88</t>
  </si>
  <si>
    <t>73, 214. 37</t>
  </si>
  <si>
    <t>Mining, manufacturing and construction .. .. .. ………………………………… .. …………………………….……</t>
  </si>
  <si>
    <t>688. 50</t>
  </si>
  <si>
    <t>531. 89</t>
  </si>
  <si>
    <t>1, 220. 39</t>
  </si>
  <si>
    <t>Transport .. .. .. ………………………………….………………………………… .. ……………………………..</t>
  </si>
  <si>
    <t>35, 423. 80</t>
  </si>
  <si>
    <t>146, 140. 05</t>
  </si>
  <si>
    <t>181, 563. 85</t>
  </si>
  <si>
    <t>Communication .. .. .. ……………………………..……………………… .. …………………………….</t>
  </si>
  <si>
    <t>2, 126. 28</t>
  </si>
  <si>
    <t>12, 317. 40</t>
  </si>
  <si>
    <t>14, 443. 68</t>
  </si>
  <si>
    <t>Other industries………………………………… .. …………………………….</t>
  </si>
  <si>
    <t>1, 552. 11</t>
  </si>
  <si>
    <t>3, 879. 29</t>
  </si>
  <si>
    <t>5, 431. 40</t>
  </si>
  <si>
    <t>Environmental protection ………………………………………………………………………….</t>
  </si>
  <si>
    <t>13, 622. 27</t>
  </si>
  <si>
    <t>4, 482. 70</t>
  </si>
  <si>
    <t>18, 104. 97</t>
  </si>
  <si>
    <t>Housing and community amenities …………………………………………………………………….</t>
  </si>
  <si>
    <t>5, 887. 59</t>
  </si>
  <si>
    <t>37, 296. 89</t>
  </si>
  <si>
    <t>43, 184. 48</t>
  </si>
  <si>
    <t>Health …………………………………………………………………………………</t>
  </si>
  <si>
    <t>19, 504. 30</t>
  </si>
  <si>
    <t>15, 150. 34</t>
  </si>
  <si>
    <t>34, 654. 64</t>
  </si>
  <si>
    <t>Outpatient services .. .. .. ………………………..………………………..</t>
  </si>
  <si>
    <t>1, 464. 21</t>
  </si>
  <si>
    <t>4, 978. 63</t>
  </si>
  <si>
    <t>6, 442. 84</t>
  </si>
  <si>
    <t>Hospital services .. .. .. …………………………..………………………..</t>
  </si>
  <si>
    <t>11, 897. 10</t>
  </si>
  <si>
    <t>5, 476. 58</t>
  </si>
  <si>
    <t>17, 373. 68</t>
  </si>
  <si>
    <t>Public health services .. .. .. ………………………………………………..</t>
  </si>
  <si>
    <t>1, 723. 59</t>
  </si>
  <si>
    <t>4, 428. 18</t>
  </si>
  <si>
    <t>6, 151. 78</t>
  </si>
  <si>
    <t>Health expenditure not elsewhere classified .... .. ..………………………..</t>
  </si>
  <si>
    <t>4, 419. 39</t>
  </si>
  <si>
    <t>266. 95</t>
  </si>
  <si>
    <t>4, 686. 34</t>
  </si>
  <si>
    <t>Recreation, culture and religion ..…………………....………………</t>
  </si>
  <si>
    <t>4, 361. 86</t>
  </si>
  <si>
    <t>2, 221. 45</t>
  </si>
  <si>
    <t>6, 583. 31</t>
  </si>
  <si>
    <t>Education……………………………………..………………………..</t>
  </si>
  <si>
    <t>298, 768. 91</t>
  </si>
  <si>
    <t>14, 608. 41</t>
  </si>
  <si>
    <t>313, 377. 32</t>
  </si>
  <si>
    <t>Administration …………………………………………………………..………………………..</t>
  </si>
  <si>
    <t>11, 236. 48</t>
  </si>
  <si>
    <t>2, 735. 11</t>
  </si>
  <si>
    <t>13, 971. 58</t>
  </si>
  <si>
    <t>Pre-primary and primary education .. .. .. .. …………..………………………..………………………………… .. …………………………….</t>
  </si>
  <si>
    <t>117, 839. 24</t>
  </si>
  <si>
    <t>754. 03</t>
  </si>
  <si>
    <t>118, 593. 27</t>
  </si>
  <si>
    <t>Secondary education .. .. .. ………………………..………………………..</t>
  </si>
  <si>
    <t>96, 680. 34</t>
  </si>
  <si>
    <t>1, 523. 93</t>
  </si>
  <si>
    <t>98, 204. 28</t>
  </si>
  <si>
    <t>Tertiary education .. .. .. ………………………….………………………..………………………..</t>
  </si>
  <si>
    <t>70, 526. 79</t>
  </si>
  <si>
    <t>5, 271. 38</t>
  </si>
  <si>
    <t>75, 798. 18</t>
  </si>
  <si>
    <t>Education expenditure not elsewhere classified… .. …………………………….………………………………… .. …………………………….</t>
  </si>
  <si>
    <t>2, 486. 05</t>
  </si>
  <si>
    <t>4, 323. 96</t>
  </si>
  <si>
    <t>6, 810. 02</t>
  </si>
  <si>
    <t>Social protection ......……………………………...…………………………….</t>
  </si>
  <si>
    <t>62, 132. 96</t>
  </si>
  <si>
    <t>13, 774. 43</t>
  </si>
  <si>
    <t>75, 907. 39</t>
  </si>
  <si>
    <t xml:space="preserve"> + Revised estimates</t>
  </si>
  <si>
    <t>Table 5.9: Economic Analysis of National Government Expenditure, 2015/16-2025/26</t>
  </si>
  <si>
    <t>2014/15</t>
  </si>
  <si>
    <t>EXPENSE</t>
  </si>
  <si>
    <t>Consumption expenditure on goods and services:</t>
  </si>
  <si>
    <t>Compensation of employees ..  ..  ..  ..  .. …………….</t>
  </si>
  <si>
    <t>Use of Goods and Services ..  ..  ..  ..  ..  ..  …….................</t>
  </si>
  <si>
    <t xml:space="preserve">                    Total ..  ...  ..  ..  ..  ..  ..  ..  …………..  ..  ….</t>
  </si>
  <si>
    <t>Subsidies    ..  ..  ..  ..  ..  ..  ..  ..  ..  ..  ..  …………………………………..</t>
  </si>
  <si>
    <t>Interest:……………</t>
  </si>
  <si>
    <t xml:space="preserve">Domestic ..  ..  ..  .  ..  ..  ...  ..  ..  .. ……………………..   </t>
  </si>
  <si>
    <t>External   ..  ..  ..  .  ..  ..  ...  ..  ..  ………………………..</t>
  </si>
  <si>
    <t xml:space="preserve"> Grants to:</t>
  </si>
  <si>
    <t>International organisations  ..  ..  ..  .  ..  ..  ...  ..  ..  ………….</t>
  </si>
  <si>
    <t>General Government units ..  ..  ..  .  ..  ..  ...  ..  ..  ..  ….</t>
  </si>
  <si>
    <t xml:space="preserve">Current </t>
  </si>
  <si>
    <t>Of Which County Governments</t>
  </si>
  <si>
    <t xml:space="preserve">Capital 
</t>
  </si>
  <si>
    <t xml:space="preserve">                   Total grants  ..  ..  ..  ..  …………………</t>
  </si>
  <si>
    <t>Social benefits  ..  ..  ..  .  ..  ..  ...  ..  ..  …………………………………</t>
  </si>
  <si>
    <t>Other expense  ..  ..  ..  .  ..  ..  ...  ..  ..  ………………………………..</t>
  </si>
  <si>
    <t>Total current expenditure</t>
  </si>
  <si>
    <t>Capital Grants(Transfers)</t>
  </si>
  <si>
    <t>Acquisition of Non Financial Assets(net)  ..</t>
  </si>
  <si>
    <t>Building and structures  ..  ..  .  ..  ..  ...  ……………….</t>
  </si>
  <si>
    <t>Machinery and equipment  ..  ..  .  ..  ..  ……………..  ..</t>
  </si>
  <si>
    <t>Inventories  ..  ..  .  ..  ..  ...  ..  .. ……………………….</t>
  </si>
  <si>
    <t xml:space="preserve">Non- produced assets  &amp; Land  ..  ..  .  ..  ……………..  </t>
  </si>
  <si>
    <t xml:space="preserve">Less Disposal of Non financial assets  ..  …………....  </t>
  </si>
  <si>
    <t>Total Expenditure (1+2)  ..  ..  ..  ..  ..  ..  ………………….</t>
  </si>
  <si>
    <t>Equity Participation and on-lending ......................</t>
  </si>
  <si>
    <t>Public Debt Redemption ...........................................</t>
  </si>
  <si>
    <t>Total Outlays (1+2+3+4) ...........................................</t>
  </si>
  <si>
    <t>* Provisional.</t>
  </si>
  <si>
    <t>Table 5.10: National Government Outstanding Debt by Source as at the End of June</t>
  </si>
  <si>
    <t>Debt as at 30th June</t>
  </si>
  <si>
    <t>EXTERNAL DEBT:</t>
  </si>
  <si>
    <t>Lending Countries:</t>
  </si>
  <si>
    <t>Germany</t>
  </si>
  <si>
    <t>Japan</t>
  </si>
  <si>
    <t>France</t>
  </si>
  <si>
    <t>USA</t>
  </si>
  <si>
    <t>Netherlands</t>
  </si>
  <si>
    <t>Denmark</t>
  </si>
  <si>
    <t>Finland</t>
  </si>
  <si>
    <t>China</t>
  </si>
  <si>
    <t>Belgium</t>
  </si>
  <si>
    <t>Other</t>
  </si>
  <si>
    <t>Total(bilateral)</t>
  </si>
  <si>
    <t>International Organisations:</t>
  </si>
  <si>
    <t>IDA/IFAD</t>
  </si>
  <si>
    <t>EEC/EIB</t>
  </si>
  <si>
    <t>IMF</t>
  </si>
  <si>
    <t>ADF/AfDB</t>
  </si>
  <si>
    <t>Other multilateral</t>
  </si>
  <si>
    <t>Total(multilateral)</t>
  </si>
  <si>
    <t>Commercial Banks</t>
  </si>
  <si>
    <t>International Sovereign Bond</t>
  </si>
  <si>
    <t>Suppliers' Credit</t>
  </si>
  <si>
    <t>TOTAL EXTERNAL</t>
  </si>
  <si>
    <t>INTERNAL DEBT:</t>
  </si>
  <si>
    <t>Treasury Bonds ………………</t>
  </si>
  <si>
    <t>Others(includes stocks)  ………</t>
  </si>
  <si>
    <t>TOTAL INTERNAL (net)  ………………………</t>
  </si>
  <si>
    <t>Memoradum</t>
  </si>
  <si>
    <t>Publicly Guranteed Debt</t>
  </si>
  <si>
    <t>Source: The National Treasury and Central Bank of Kenya</t>
  </si>
  <si>
    <t>4Total governement debt excluding guaranteed debt</t>
  </si>
  <si>
    <t>Table 5.11: National Government Debt Servicing, 2015/16 – 2025/26</t>
  </si>
  <si>
    <t>Year</t>
  </si>
  <si>
    <t>Interest and Loan Repayment Receipts</t>
  </si>
  <si>
    <t>Net Servicing Charges</t>
  </si>
  <si>
    <t>External</t>
  </si>
  <si>
    <t>Internal</t>
  </si>
  <si>
    <t>2015/16........</t>
  </si>
  <si>
    <t>2016/17........</t>
  </si>
  <si>
    <t>2017/18........</t>
  </si>
  <si>
    <t>Table 5.12: National Government Debt Service Charges and Earnings from Export of Goods and Services, 2015/16 - 2025/26</t>
  </si>
  <si>
    <t>Exports of Goods and Services (Calender Year)</t>
  </si>
  <si>
    <t xml:space="preserve">External debt service  Charges as a Percentage of  Exports of Goods and Services </t>
  </si>
  <si>
    <t>Percentage</t>
  </si>
  <si>
    <t>Table 5.13: County Governments’ Revenue, 2015/16-2025/26</t>
  </si>
  <si>
    <t>Equitable Share Grant</t>
  </si>
  <si>
    <t>Conditional Grant1</t>
  </si>
  <si>
    <t>Unconditional Grant2</t>
  </si>
  <si>
    <t>Annual Own Source Revenue</t>
  </si>
  <si>
    <t>Total Revenue</t>
  </si>
  <si>
    <t>COUNTY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</si>
  <si>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</si>
  <si>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</si>
  <si>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</si>
  <si>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</si>
  <si>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</si>
  <si>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</si>
  <si>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</si>
  <si>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</si>
  <si>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</si>
  <si>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</si>
  <si>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</si>
  <si>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</si>
  <si>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</si>
  <si>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</si>
  <si>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</si>
  <si>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</si>
  <si>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</si>
  <si>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</si>
  <si>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</si>
  <si>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</si>
  <si>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</si>
  <si>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</si>
  <si>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</si>
  <si>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</si>
  <si>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</si>
  <si>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</si>
  <si>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</si>
  <si>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</si>
  <si>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</si>
  <si>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</si>
  <si>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</si>
  <si>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</si>
  <si>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</si>
  <si>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</si>
  <si>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</si>
  <si>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</si>
  <si>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</si>
  <si>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</si>
  <si>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</si>
  <si>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</si>
  <si>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</si>
  <si>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</si>
  <si>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</si>
  <si>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</si>
  <si>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</si>
  <si>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</si>
  <si>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</si>
  <si>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 xml:space="preserve">*Provisional </t>
  </si>
  <si>
    <t>1 Includes allocations to County Governments from National   Government Revenue and Loans and Grants from Developmemt Patners</t>
  </si>
  <si>
    <t xml:space="preserve">2 Unconditional allocations to County Governments from the National Government from Court Fines </t>
  </si>
  <si>
    <t xml:space="preserve">3 Own Source Revenue( OSR) is the income that county governments generate independently, typically through local taxes, fees and fines </t>
  </si>
  <si>
    <t>Table 5.14: Economic classification of County Governments Expenditure, 2015/16-2025/26</t>
  </si>
  <si>
    <t>Compensation of Employees</t>
  </si>
  <si>
    <t>Salaries</t>
  </si>
  <si>
    <t>Allowances</t>
  </si>
  <si>
    <t>Social contbributions</t>
  </si>
  <si>
    <t>Use of goods and services</t>
  </si>
  <si>
    <t>Utilities, Supplies and Services</t>
  </si>
  <si>
    <t>Printing , Advertising and Information Supplies and Services</t>
  </si>
  <si>
    <t>Rentals</t>
  </si>
  <si>
    <t xml:space="preserve">Communication, Supplies and Services </t>
  </si>
  <si>
    <t>Transportation costs</t>
  </si>
  <si>
    <t xml:space="preserve">Training Expenses </t>
  </si>
  <si>
    <t>Hospitality Supplies and Services</t>
  </si>
  <si>
    <t>Insurance</t>
  </si>
  <si>
    <t>Specialised Materials</t>
  </si>
  <si>
    <t>Office and General Supplies and Services and materials</t>
  </si>
  <si>
    <t xml:space="preserve">Fuel Oil and Lubricants </t>
  </si>
  <si>
    <t>Other Operating Expenses</t>
  </si>
  <si>
    <t>Routine Maintenance</t>
  </si>
  <si>
    <t>Subsidies</t>
  </si>
  <si>
    <t>Interest</t>
  </si>
  <si>
    <t>Grants</t>
  </si>
  <si>
    <t>Other expense</t>
  </si>
  <si>
    <t xml:space="preserve">Social benefits  </t>
  </si>
  <si>
    <t>Acquisition of Non-financial Assets</t>
  </si>
  <si>
    <t>Building and Structures</t>
  </si>
  <si>
    <t>Plant and Machinery</t>
  </si>
  <si>
    <t xml:space="preserve">Inventories </t>
  </si>
  <si>
    <t>Non- produced assets  &amp; Land</t>
  </si>
  <si>
    <t xml:space="preserve">Less Disposal of Non financial assets </t>
  </si>
  <si>
    <t xml:space="preserve">.. Missing data </t>
  </si>
  <si>
    <t>Table 5.15: Classification of  Expenditure by  Functions of County Governments (COFOG) 2015/16 -2025/26</t>
  </si>
  <si>
    <t>2022/2023</t>
  </si>
  <si>
    <t>General Public Services</t>
  </si>
  <si>
    <t>Public order and safety</t>
  </si>
  <si>
    <t>Economic Affairs</t>
  </si>
  <si>
    <t xml:space="preserve">    General economic affairs</t>
  </si>
  <si>
    <t xml:space="preserve">    Agriculture</t>
  </si>
  <si>
    <t xml:space="preserve">    Transport</t>
  </si>
  <si>
    <t xml:space="preserve">    Other economic Affairs</t>
  </si>
  <si>
    <t>Environmental Protection</t>
  </si>
  <si>
    <t>Housing and Community Ammenities</t>
  </si>
  <si>
    <t>Health</t>
  </si>
  <si>
    <t>Recreation, Culture and Religion</t>
  </si>
  <si>
    <t>Education</t>
  </si>
  <si>
    <t>Social Protection</t>
  </si>
  <si>
    <t xml:space="preserve">Total   </t>
  </si>
  <si>
    <t>Table 5.16: General Government Consolidated1 Statement of Operations2, 2015/16 - 2025/26</t>
  </si>
  <si>
    <t>Revenue</t>
  </si>
  <si>
    <t>Tax revenue</t>
  </si>
  <si>
    <t>Social contributions</t>
  </si>
  <si>
    <t>Grants:</t>
  </si>
  <si>
    <t>International organisation</t>
  </si>
  <si>
    <t>Other revenue</t>
  </si>
  <si>
    <t>Sale of Goods &amp; Services</t>
  </si>
  <si>
    <t>Property income</t>
  </si>
  <si>
    <t>Fines, Penalties &amp;Forfeits</t>
  </si>
  <si>
    <t>Other transfers "not elsewhere classified" (NEC)</t>
  </si>
  <si>
    <t>Expense</t>
  </si>
  <si>
    <t>Compensation of employees</t>
  </si>
  <si>
    <t>Consumption of Fixed Capital (CFC)/Depreciation</t>
  </si>
  <si>
    <t>International Organisation</t>
  </si>
  <si>
    <t>Other General Government</t>
  </si>
  <si>
    <t>Social benefits</t>
  </si>
  <si>
    <t>Other expense not elsewhere classified</t>
  </si>
  <si>
    <t>Net Operating Balance</t>
  </si>
  <si>
    <t xml:space="preserve"> Acquisition of Non-Financial Assets</t>
  </si>
  <si>
    <t>Acquisition of fixed assets</t>
  </si>
  <si>
    <t>Inventories</t>
  </si>
  <si>
    <t>Non-produced Assets and Land</t>
  </si>
  <si>
    <t>Disposal of non-financial assets</t>
  </si>
  <si>
    <t>Net lending/Borrowing</t>
  </si>
  <si>
    <t>Net Financial Worth</t>
  </si>
  <si>
    <t xml:space="preserve">Transactions in Financial assets </t>
  </si>
  <si>
    <t>Currency and deposits</t>
  </si>
  <si>
    <t>Debt securities</t>
  </si>
  <si>
    <t>Loans</t>
  </si>
  <si>
    <t xml:space="preserve">Equity and investment fund shares </t>
  </si>
  <si>
    <t xml:space="preserve">Accounts receivable </t>
  </si>
  <si>
    <t xml:space="preserve">Transactions in Liabilities </t>
  </si>
  <si>
    <t>Domestic</t>
  </si>
  <si>
    <t>Foreign</t>
  </si>
  <si>
    <t xml:space="preserve">Accounts payable </t>
  </si>
  <si>
    <t>Source: The National Treasury, Central Bank of Kenya and KNBS</t>
  </si>
  <si>
    <t xml:space="preserve"> that are approved by the legislature to finance their activities, rather than being paid into the Consolidated Fund</t>
  </si>
  <si>
    <r>
      <t>2024/25</t>
    </r>
    <r>
      <rPr>
        <b/>
        <vertAlign val="superscript"/>
        <sz val="10"/>
        <color theme="1"/>
        <rFont val="Times New Roman"/>
        <family val="1"/>
      </rPr>
      <t>*</t>
    </r>
  </si>
  <si>
    <r>
      <t>Ministerial "Appropriations in Aid" (AiA)</t>
    </r>
    <r>
      <rPr>
        <vertAlign val="superscript"/>
        <sz val="10"/>
        <color theme="1"/>
        <rFont val="Times New Roman"/>
        <family val="1"/>
      </rPr>
      <t>3</t>
    </r>
  </si>
  <si>
    <r>
      <t>2023/24</t>
    </r>
    <r>
      <rPr>
        <b/>
        <vertAlign val="superscript"/>
        <sz val="10"/>
        <color theme="1"/>
        <rFont val="Times New Roman"/>
        <family val="1"/>
      </rPr>
      <t>+</t>
    </r>
  </si>
  <si>
    <r>
      <t>2024/25</t>
    </r>
    <r>
      <rPr>
        <b/>
        <vertAlign val="superscript"/>
        <sz val="10"/>
        <color theme="1"/>
        <rFont val="Times New Roman"/>
        <family val="1"/>
      </rPr>
      <t>+</t>
    </r>
  </si>
  <si>
    <r>
      <t>Debt Service Charges on 
External Debt</t>
    </r>
    <r>
      <rPr>
        <b/>
        <vertAlign val="superscript"/>
        <sz val="10"/>
        <color rgb="FF000000"/>
        <rFont val="Times New Roman"/>
        <family val="1"/>
      </rPr>
      <t xml:space="preserve">1 </t>
    </r>
  </si>
  <si>
    <r>
      <t>Debt Servicing Charges</t>
    </r>
    <r>
      <rPr>
        <b/>
        <vertAlign val="superscript"/>
        <sz val="10"/>
        <color theme="1"/>
        <rFont val="Times New Roman"/>
        <family val="1"/>
      </rPr>
      <t>1</t>
    </r>
  </si>
  <si>
    <r>
      <t>2025</t>
    </r>
    <r>
      <rPr>
        <b/>
        <vertAlign val="superscript"/>
        <sz val="10"/>
        <color theme="1"/>
        <rFont val="Times New Roman"/>
        <family val="1"/>
      </rPr>
      <t>*</t>
    </r>
  </si>
  <si>
    <r>
      <t>Treasury Bills</t>
    </r>
    <r>
      <rPr>
        <vertAlign val="superscript"/>
        <sz val="10"/>
        <color theme="1"/>
        <rFont val="Times New Roman"/>
        <family val="1"/>
      </rPr>
      <t xml:space="preserve">1 </t>
    </r>
    <r>
      <rPr>
        <sz val="10"/>
        <color theme="1"/>
        <rFont val="Times New Roman"/>
        <family val="1"/>
      </rPr>
      <t>……………</t>
    </r>
  </si>
  <si>
    <r>
      <t>Non Interest bearing debts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……</t>
    </r>
  </si>
  <si>
    <r>
      <t>Less: Government deposits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 xml:space="preserve"> and on-lending..</t>
    </r>
  </si>
  <si>
    <r>
      <t xml:space="preserve">TOTAL DEBT </t>
    </r>
    <r>
      <rPr>
        <b/>
        <vertAlign val="superscript"/>
        <sz val="10"/>
        <color theme="1"/>
        <rFont val="Times New Roman"/>
        <family val="1"/>
      </rPr>
      <t xml:space="preserve">4 </t>
    </r>
    <r>
      <rPr>
        <b/>
        <sz val="10"/>
        <color theme="1"/>
        <rFont val="Times New Roman"/>
        <family val="1"/>
      </rPr>
      <t>(net)  ……………………………………………</t>
    </r>
  </si>
  <si>
    <r>
      <t>2025/26</t>
    </r>
    <r>
      <rPr>
        <b/>
        <vertAlign val="superscript"/>
        <sz val="10"/>
        <color theme="1"/>
        <rFont val="Times New Roman"/>
        <family val="1"/>
      </rPr>
      <t>*</t>
    </r>
  </si>
  <si>
    <r>
      <t xml:space="preserve"> Total Expense</t>
    </r>
    <r>
      <rPr>
        <b/>
        <vertAlign val="superscript"/>
        <sz val="10"/>
        <color theme="1"/>
        <rFont val="Times New Roman"/>
        <family val="1"/>
      </rPr>
      <t>1</t>
    </r>
    <r>
      <rPr>
        <b/>
        <sz val="10"/>
        <color theme="1"/>
        <rFont val="Times New Roman"/>
        <family val="1"/>
      </rPr>
      <t xml:space="preserve">  ..  ... …………………………….</t>
    </r>
  </si>
  <si>
    <r>
      <t xml:space="preserve">General public services </t>
    </r>
    <r>
      <rPr>
        <b/>
        <i/>
        <sz val="10"/>
        <color theme="1"/>
        <rFont val="Times New Roman"/>
        <family val="1"/>
      </rPr>
      <t>………………………..………………………………… .. …………………………….</t>
    </r>
  </si>
  <si>
    <r>
      <t xml:space="preserve">   TOTAL EXPENDITURE</t>
    </r>
    <r>
      <rPr>
        <b/>
        <vertAlign val="superscript"/>
        <sz val="10"/>
        <color theme="1"/>
        <rFont val="Times New Roman"/>
        <family val="1"/>
      </rPr>
      <t>1</t>
    </r>
    <r>
      <rPr>
        <b/>
        <sz val="10"/>
        <color theme="1"/>
        <rFont val="Times New Roman"/>
        <family val="1"/>
      </rPr>
      <t xml:space="preserve"> ………………………………………………………</t>
    </r>
  </si>
  <si>
    <r>
      <t>CHANGE IN CASH BALANCES</t>
    </r>
    <r>
      <rPr>
        <vertAlign val="superscript"/>
        <sz val="10"/>
        <color theme="1"/>
        <rFont val="Times New Roman"/>
        <family val="1"/>
      </rPr>
      <t>1</t>
    </r>
    <r>
      <rPr>
        <sz val="10"/>
        <color theme="1"/>
        <rFont val="Times New Roman"/>
        <family val="1"/>
      </rPr>
      <t>: Increase=(-)…………</t>
    </r>
  </si>
  <si>
    <r>
      <t>Other commodities</t>
    </r>
    <r>
      <rPr>
        <vertAlign val="superscript"/>
        <sz val="10"/>
        <color theme="1"/>
        <rFont val="Times New Roman"/>
        <family val="1"/>
      </rPr>
      <t xml:space="preserve">2 </t>
    </r>
    <r>
      <rPr>
        <sz val="10"/>
        <color theme="1"/>
        <rFont val="Times New Roman"/>
        <family val="1"/>
      </rPr>
      <t>…………………………………………………………</t>
    </r>
  </si>
  <si>
    <r>
      <t>Semi-manufactures</t>
    </r>
    <r>
      <rPr>
        <vertAlign val="superscript"/>
        <sz val="10"/>
        <color theme="1"/>
        <rFont val="Times New Roman"/>
        <family val="1"/>
      </rPr>
      <t>1</t>
    </r>
    <r>
      <rPr>
        <sz val="10"/>
        <color theme="1"/>
        <rFont val="Times New Roman"/>
        <family val="1"/>
      </rPr>
      <t>………………………………..</t>
    </r>
  </si>
  <si>
    <r>
      <t>2018/19</t>
    </r>
    <r>
      <rPr>
        <b/>
        <vertAlign val="superscript"/>
        <sz val="10"/>
        <color theme="1"/>
        <rFont val="Times New Roman"/>
        <family val="1"/>
      </rPr>
      <t>+</t>
    </r>
  </si>
  <si>
    <r>
      <t>2019/20</t>
    </r>
    <r>
      <rPr>
        <b/>
        <vertAlign val="superscript"/>
        <sz val="10"/>
        <color theme="1"/>
        <rFont val="Times New Roman"/>
        <family val="1"/>
      </rPr>
      <t>+</t>
    </r>
  </si>
  <si>
    <t>Taxes on income, profits and capital gains1</t>
  </si>
  <si>
    <t xml:space="preserve">Recurrent Expenditure  ..  ..  ..  ..  .. …………. </t>
  </si>
  <si>
    <r>
      <t>External Financing (Net)</t>
    </r>
    <r>
      <rPr>
        <vertAlign val="superscript"/>
        <sz val="10"/>
        <color theme="1"/>
        <rFont val="Times New Roman"/>
        <family val="1"/>
      </rPr>
      <t>1</t>
    </r>
    <r>
      <rPr>
        <sz val="10"/>
        <color theme="1"/>
        <rFont val="Times New Roman"/>
        <family val="1"/>
      </rPr>
      <t xml:space="preserve">  ..  ..  …………..  ..  </t>
    </r>
  </si>
  <si>
    <r>
      <t>1.  Revenue</t>
    </r>
    <r>
      <rPr>
        <vertAlign val="superscript"/>
        <sz val="10"/>
        <color theme="1"/>
        <rFont val="Times New Roman"/>
        <family val="1"/>
      </rPr>
      <t>1</t>
    </r>
    <r>
      <rPr>
        <sz val="10"/>
        <color theme="1"/>
        <rFont val="Times New Roman"/>
        <family val="1"/>
      </rPr>
      <t xml:space="preserve"> ………………………………………..</t>
    </r>
  </si>
  <si>
    <r>
      <t>2.  Expense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……………………………………..</t>
    </r>
  </si>
  <si>
    <r>
      <rPr>
        <b/>
        <sz val="10"/>
        <color theme="1"/>
        <rFont val="Times New Roman"/>
        <family val="1"/>
      </rPr>
      <t>6.</t>
    </r>
    <r>
      <rPr>
        <sz val="10"/>
        <color theme="1"/>
        <rFont val="Times New Roman"/>
        <family val="1"/>
      </rPr>
      <t>Net Acquisition of financial assets</t>
    </r>
  </si>
  <si>
    <r>
      <rPr>
        <b/>
        <sz val="10"/>
        <color theme="1"/>
        <rFont val="Times New Roman"/>
        <family val="1"/>
      </rPr>
      <t>7</t>
    </r>
    <r>
      <rPr>
        <sz val="10"/>
        <color theme="1"/>
        <rFont val="Times New Roman"/>
        <family val="1"/>
      </rPr>
      <t>. Net Incurrence of liabilities…………………………………….</t>
    </r>
  </si>
  <si>
    <r>
      <rPr>
        <i/>
        <vertAlign val="superscript"/>
        <sz val="9"/>
        <color theme="1"/>
        <rFont val="Times New Roman"/>
        <family val="1"/>
      </rPr>
      <t xml:space="preserve"> +</t>
    </r>
    <r>
      <rPr>
        <i/>
        <sz val="9"/>
        <color theme="1"/>
        <rFont val="Times New Roman"/>
        <family val="1"/>
      </rPr>
      <t>Revised</t>
    </r>
  </si>
  <si>
    <r>
      <rPr>
        <i/>
        <vertAlign val="superscript"/>
        <sz val="9"/>
        <color theme="1"/>
        <rFont val="Times New Roman"/>
        <family val="1"/>
      </rPr>
      <t>1</t>
    </r>
    <r>
      <rPr>
        <i/>
        <sz val="9"/>
        <color theme="1"/>
        <rFont val="Times New Roman"/>
        <family val="1"/>
      </rPr>
      <t>Includes Ordinary Revenue and External grants.</t>
    </r>
  </si>
  <si>
    <r>
      <rPr>
        <i/>
        <vertAlign val="superscript"/>
        <sz val="9"/>
        <color theme="1"/>
        <rFont val="Times New Roman"/>
        <family val="1"/>
      </rPr>
      <t>2</t>
    </r>
    <r>
      <rPr>
        <i/>
        <sz val="9"/>
        <color theme="1"/>
        <rFont val="Times New Roman"/>
        <family val="1"/>
      </rPr>
      <t>Expense excludes Acquisition of Non- Financial Assets</t>
    </r>
  </si>
  <si>
    <r>
      <rPr>
        <i/>
        <vertAlign val="superscript"/>
        <sz val="9"/>
        <color theme="1"/>
        <rFont val="Times New Roman"/>
        <family val="1"/>
      </rPr>
      <t xml:space="preserve"> +</t>
    </r>
    <r>
      <rPr>
        <i/>
        <sz val="9"/>
        <color theme="1"/>
        <rFont val="Times New Roman"/>
        <family val="1"/>
      </rPr>
      <t xml:space="preserve"> Revised Estimates</t>
    </r>
  </si>
  <si>
    <r>
      <rPr>
        <i/>
        <sz val="9"/>
        <color theme="1"/>
        <rFont val="Times New Roman"/>
        <family val="1"/>
      </rPr>
      <t>1 Excludes non-metallic mineral manufactures</t>
    </r>
  </si>
  <si>
    <r>
      <rPr>
        <i/>
        <vertAlign val="superscript"/>
        <sz val="9"/>
        <color theme="1"/>
        <rFont val="Times New Roman"/>
        <family val="1"/>
      </rPr>
      <t>1</t>
    </r>
    <r>
      <rPr>
        <i/>
        <sz val="9"/>
        <color theme="1"/>
        <rFont val="Times New Roman"/>
        <family val="1"/>
      </rPr>
      <t xml:space="preserve">Domestically manufactured commodities/goods and services </t>
    </r>
  </si>
  <si>
    <r>
      <rPr>
        <i/>
        <vertAlign val="superscript"/>
        <sz val="9"/>
        <color theme="1"/>
        <rFont val="Times New Roman"/>
        <family val="1"/>
      </rPr>
      <t xml:space="preserve"> +</t>
    </r>
    <r>
      <rPr>
        <i/>
        <sz val="9"/>
        <color theme="1"/>
        <rFont val="Times New Roman"/>
        <family val="1"/>
      </rPr>
      <t xml:space="preserve"> Revised</t>
    </r>
  </si>
  <si>
    <r>
      <rPr>
        <i/>
        <vertAlign val="superscript"/>
        <sz val="9"/>
        <color theme="1"/>
        <rFont val="Times New Roman"/>
        <family val="1"/>
      </rPr>
      <t>1</t>
    </r>
    <r>
      <rPr>
        <i/>
        <sz val="9"/>
        <color theme="1"/>
        <rFont val="Times New Roman"/>
        <family val="1"/>
      </rPr>
      <t>Total expense includes compensation of employees, use of goods and services, subsidies,interest, grants social benefits and other expenses</t>
    </r>
  </si>
  <si>
    <r>
      <rPr>
        <i/>
        <vertAlign val="superscript"/>
        <sz val="9"/>
        <color theme="1"/>
        <rFont val="Times New Roman"/>
        <family val="1"/>
      </rPr>
      <t>1</t>
    </r>
    <r>
      <rPr>
        <i/>
        <sz val="9"/>
        <color theme="1"/>
        <rFont val="Times New Roman"/>
        <family val="1"/>
      </rPr>
      <t xml:space="preserve"> Excludes Repo Bills</t>
    </r>
  </si>
  <si>
    <r>
      <rPr>
        <i/>
        <vertAlign val="superscript"/>
        <sz val="9"/>
        <color theme="1"/>
        <rFont val="Times New Roman"/>
        <family val="1"/>
      </rPr>
      <t xml:space="preserve">2 </t>
    </r>
    <r>
      <rPr>
        <i/>
        <sz val="9"/>
        <color theme="1"/>
        <rFont val="Times New Roman"/>
        <family val="1"/>
      </rPr>
      <t xml:space="preserve"> Pre-1997 Government Overdraft debt(Repo T-bills) and IMF funds on-lent</t>
    </r>
  </si>
  <si>
    <r>
      <rPr>
        <i/>
        <vertAlign val="superscript"/>
        <sz val="9"/>
        <color theme="1"/>
        <rFont val="Times New Roman"/>
        <family val="1"/>
      </rPr>
      <t>3</t>
    </r>
    <r>
      <rPr>
        <i/>
        <sz val="9"/>
        <color theme="1"/>
        <rFont val="Times New Roman"/>
        <family val="1"/>
      </rPr>
      <t xml:space="preserve">  Government deposits in Central Bank and  Commercial Banks</t>
    </r>
  </si>
  <si>
    <r>
      <rPr>
        <i/>
        <vertAlign val="superscript"/>
        <sz val="9"/>
        <color theme="1"/>
        <rFont val="Times New Roman"/>
        <family val="1"/>
      </rPr>
      <t>1</t>
    </r>
    <r>
      <rPr>
        <i/>
        <sz val="9"/>
        <color theme="1"/>
        <rFont val="Times New Roman"/>
        <family val="1"/>
      </rPr>
      <t xml:space="preserve"> Includes both principal and interest</t>
    </r>
  </si>
  <si>
    <r>
      <rPr>
        <i/>
        <vertAlign val="superscript"/>
        <sz val="9"/>
        <color theme="1"/>
        <rFont val="Times New Roman"/>
        <family val="1"/>
      </rPr>
      <t>+</t>
    </r>
    <r>
      <rPr>
        <i/>
        <sz val="9"/>
        <color theme="1"/>
        <rFont val="Times New Roman"/>
        <family val="1"/>
      </rPr>
      <t xml:space="preserve">Revised </t>
    </r>
  </si>
  <si>
    <r>
      <rPr>
        <i/>
        <vertAlign val="superscript"/>
        <sz val="9"/>
        <color rgb="FF000000"/>
        <rFont val="Times New Roman"/>
        <family val="1"/>
      </rPr>
      <t>1</t>
    </r>
    <r>
      <rPr>
        <i/>
        <sz val="9"/>
        <color rgb="FF000000"/>
        <rFont val="Times New Roman"/>
        <family val="1"/>
      </rPr>
      <t>Includes both Principal and Interest</t>
    </r>
  </si>
  <si>
    <r>
      <rPr>
        <b/>
        <i/>
        <vertAlign val="superscript"/>
        <sz val="9"/>
        <color theme="1"/>
        <rFont val="Times New Roman"/>
        <family val="1"/>
      </rPr>
      <t>+</t>
    </r>
    <r>
      <rPr>
        <b/>
        <i/>
        <sz val="9"/>
        <color theme="1"/>
        <rFont val="Times New Roman"/>
        <family val="1"/>
      </rPr>
      <t xml:space="preserve">Revised </t>
    </r>
  </si>
  <si>
    <r>
      <rPr>
        <i/>
        <vertAlign val="superscript"/>
        <sz val="9"/>
        <color theme="1"/>
        <rFont val="Times New Roman"/>
        <family val="1"/>
      </rPr>
      <t>+</t>
    </r>
    <r>
      <rPr>
        <i/>
        <sz val="9"/>
        <color theme="1"/>
        <rFont val="Times New Roman"/>
        <family val="1"/>
      </rPr>
      <t>Revised</t>
    </r>
  </si>
  <si>
    <r>
      <rPr>
        <i/>
        <vertAlign val="superscript"/>
        <sz val="9"/>
        <color theme="1"/>
        <rFont val="Times New Roman"/>
        <family val="1"/>
      </rPr>
      <t>1</t>
    </r>
    <r>
      <rPr>
        <i/>
        <sz val="9"/>
        <color theme="1"/>
        <rFont val="Times New Roman"/>
        <family val="1"/>
      </rPr>
      <t>Consolidation refers to netting out of Intra-sectoral transactions to avoid double counting.</t>
    </r>
  </si>
  <si>
    <r>
      <rPr>
        <i/>
        <vertAlign val="superscript"/>
        <sz val="9"/>
        <color theme="1"/>
        <rFont val="Times New Roman"/>
        <family val="1"/>
      </rPr>
      <t>2</t>
    </r>
    <r>
      <rPr>
        <i/>
        <sz val="9"/>
        <color theme="1"/>
        <rFont val="Times New Roman"/>
        <family val="1"/>
      </rPr>
      <t>The statement of operation include those in the National and County Governements, and State-Owned Enterprises classified as non-market producers.</t>
    </r>
  </si>
  <si>
    <r>
      <rPr>
        <i/>
        <vertAlign val="superscript"/>
        <sz val="9"/>
        <color theme="1"/>
        <rFont val="Times New Roman"/>
        <family val="1"/>
      </rPr>
      <t>3</t>
    </r>
    <r>
      <rPr>
        <i/>
        <sz val="9"/>
        <color theme="1"/>
        <rFont val="Times New Roman"/>
        <family val="1"/>
      </rPr>
      <t>Appropriations in Aid refers to revenues collected directly by government agencies, through service fees and charges,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</si>
</sst>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"/>
    <numFmt numFmtId="165" formatCode="@*."/>
    <numFmt numFmtId="166" formatCode="#,##0.0"/>
    <numFmt numFmtId="167" formatCode="#,##0.00\ ;\(#,##0.00\)"/>
    <numFmt numFmtId="168" formatCode="0.0%"/>
  </numFmts>
  <fonts count="40">
    <font>
      <sz val="11"/>
      <color theme="1"/>
      <name val="Aptos Narrow"/>
      <scheme val="minor"/>
    </font>
    <font>
      <sz val="9"/>
      <color theme="1"/>
      <name val="Times New Roman"/>
      <family val="1"/>
    </font>
    <font>
      <b/>
      <sz val="12"/>
      <color rgb="FF993300"/>
      <name val="Times New Roman"/>
      <family val="1"/>
    </font>
    <font>
      <b/>
      <sz val="10"/>
      <color rgb="FF9933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b/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BF4F14"/>
      <name val="Times New Roman"/>
      <family val="1"/>
    </font>
    <font>
      <sz val="8"/>
      <color rgb="FFFF0000"/>
      <name val="Times New Roman"/>
      <family val="1"/>
    </font>
    <font>
      <vertAlign val="superscript"/>
      <sz val="8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rgb="FFB12930"/>
      <name val="Times New Roman"/>
      <family val="1"/>
    </font>
    <font>
      <i/>
      <sz val="9"/>
      <color theme="1"/>
      <name val="Times New Roman"/>
      <family val="1"/>
    </font>
    <font>
      <i/>
      <vertAlign val="superscript"/>
      <sz val="9"/>
      <color theme="1"/>
      <name val="Times New Roman"/>
      <family val="1"/>
    </font>
    <font>
      <sz val="12"/>
      <name val="Times New Roman"/>
      <family val="1"/>
    </font>
    <font>
      <b/>
      <i/>
      <sz val="9"/>
      <color theme="1"/>
      <name val="Times New Roman"/>
      <family val="1"/>
    </font>
    <font>
      <i/>
      <sz val="9"/>
      <color rgb="FFFF0000"/>
      <name val="Times New Roman"/>
      <family val="1"/>
    </font>
    <font>
      <b/>
      <i/>
      <sz val="9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vertAlign val="superscript"/>
      <sz val="9"/>
      <color rgb="FF000000"/>
      <name val="Times New Roman"/>
      <family val="1"/>
    </font>
    <font>
      <i/>
      <sz val="9"/>
      <color rgb="FF000000"/>
      <name val="Times New Roman"/>
      <family val="1"/>
    </font>
    <font>
      <b/>
      <i/>
      <vertAlign val="superscript"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2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993300"/>
      </top>
      <bottom style="thin">
        <color rgb="FF993300"/>
      </bottom>
      <diagonal/>
    </border>
    <border>
      <left style="thin">
        <color rgb="FF993300"/>
      </left>
      <right/>
      <top style="thin">
        <color rgb="FF993300"/>
      </top>
      <bottom style="thin">
        <color rgb="FF993300"/>
      </bottom>
      <diagonal/>
    </border>
    <border>
      <left style="thin">
        <color rgb="FF993300"/>
      </left>
      <right style="thin">
        <color rgb="FF980000"/>
      </right>
      <top style="thin">
        <color rgb="FF993300"/>
      </top>
      <bottom style="thin">
        <color rgb="FF993300"/>
      </bottom>
      <diagonal/>
    </border>
    <border>
      <left style="thin">
        <color rgb="FF993300"/>
      </left>
      <right style="thin">
        <color rgb="FF980000"/>
      </right>
      <top style="thin">
        <color rgb="FF993300"/>
      </top>
      <bottom/>
      <diagonal/>
    </border>
    <border>
      <left style="thin">
        <color rgb="FF000000"/>
      </left>
      <right style="thin">
        <color rgb="FF980000"/>
      </right>
      <top/>
      <bottom/>
      <diagonal/>
    </border>
    <border>
      <left/>
      <right style="thin">
        <color rgb="FF980000"/>
      </right>
      <top/>
      <bottom/>
      <diagonal/>
    </border>
    <border>
      <left/>
      <right style="thin">
        <color rgb="FF980000"/>
      </right>
      <top/>
      <bottom style="thin">
        <color rgb="FF980000"/>
      </bottom>
      <diagonal/>
    </border>
    <border>
      <left/>
      <right/>
      <top/>
      <bottom style="thin">
        <color rgb="FF993300"/>
      </bottom>
      <diagonal/>
    </border>
    <border>
      <left style="thin">
        <color rgb="FF993300"/>
      </left>
      <right style="thin">
        <color rgb="FF98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993300"/>
      </left>
      <right style="thin">
        <color rgb="FF980000"/>
      </right>
      <top/>
      <bottom style="thin">
        <color rgb="FF000000"/>
      </bottom>
      <diagonal/>
    </border>
    <border>
      <left style="thin">
        <color rgb="FF993300"/>
      </left>
      <right style="thin">
        <color rgb="FF9933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93300"/>
      </top>
      <bottom/>
      <diagonal/>
    </border>
    <border>
      <left style="thin">
        <color rgb="FF993300"/>
      </left>
      <right/>
      <top style="thin">
        <color rgb="FF993300"/>
      </top>
      <bottom/>
      <diagonal/>
    </border>
    <border>
      <left style="thin">
        <color rgb="FF000000"/>
      </left>
      <right/>
      <top style="thin">
        <color rgb="FF993300"/>
      </top>
      <bottom/>
      <diagonal/>
    </border>
    <border>
      <left style="thin">
        <color rgb="FF993300"/>
      </left>
      <right/>
      <top style="thin">
        <color rgb="FF993300"/>
      </top>
      <bottom/>
      <diagonal/>
    </border>
    <border>
      <left style="thin">
        <color rgb="FF993300"/>
      </left>
      <right style="thin">
        <color rgb="FF980000"/>
      </right>
      <top style="thin">
        <color rgb="FF9933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993300"/>
      </left>
      <right/>
      <top/>
      <bottom/>
      <diagonal/>
    </border>
    <border>
      <left style="thin">
        <color rgb="FF993300"/>
      </left>
      <right/>
      <top/>
      <bottom/>
      <diagonal/>
    </border>
    <border>
      <left style="thin">
        <color rgb="FF993300"/>
      </left>
      <right style="thin">
        <color rgb="FF98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993300"/>
      </right>
      <top/>
      <bottom style="thin">
        <color rgb="FF993300"/>
      </bottom>
      <diagonal/>
    </border>
    <border>
      <left style="thin">
        <color rgb="FF993300"/>
      </left>
      <right style="thin">
        <color rgb="FF993300"/>
      </right>
      <top/>
      <bottom style="thin">
        <color rgb="FF993300"/>
      </bottom>
      <diagonal/>
    </border>
    <border>
      <left style="thin">
        <color rgb="FF993300"/>
      </left>
      <right style="thin">
        <color rgb="FF980000"/>
      </right>
      <top/>
      <bottom style="thin">
        <color rgb="FF993300"/>
      </bottom>
      <diagonal/>
    </border>
    <border>
      <left/>
      <right style="thin">
        <color rgb="FF993300"/>
      </right>
      <top style="thin">
        <color rgb="FF993300"/>
      </top>
      <bottom/>
      <diagonal/>
    </border>
    <border>
      <left/>
      <right style="thin">
        <color rgb="FF993300"/>
      </right>
      <top style="thin">
        <color rgb="FF993300"/>
      </top>
      <bottom style="thin">
        <color rgb="FF993300"/>
      </bottom>
      <diagonal/>
    </border>
    <border>
      <left/>
      <right style="thin">
        <color rgb="FF993300"/>
      </right>
      <top/>
      <bottom style="thin">
        <color rgb="FF993300"/>
      </bottom>
      <diagonal/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  <diagonal/>
    </border>
    <border>
      <left/>
      <right style="thin">
        <color rgb="FF980000"/>
      </right>
      <top style="thin">
        <color rgb="FF993300"/>
      </top>
      <bottom/>
      <diagonal/>
    </border>
    <border>
      <left style="thin">
        <color rgb="FF993300"/>
      </left>
      <right style="thin">
        <color rgb="FF993300"/>
      </right>
      <top style="thin">
        <color rgb="FF993300"/>
      </top>
      <bottom/>
      <diagonal/>
    </border>
    <border>
      <left style="thin">
        <color rgb="FF993300"/>
      </left>
      <right style="thin">
        <color rgb="FF993300"/>
      </right>
      <top style="thin">
        <color rgb="FF993300"/>
      </top>
      <bottom/>
      <diagonal/>
    </border>
    <border>
      <left/>
      <right style="thin">
        <color rgb="FF993300"/>
      </right>
      <top/>
      <bottom/>
      <diagonal/>
    </border>
    <border>
      <left style="thin">
        <color rgb="FF993300"/>
      </left>
      <right style="thin">
        <color rgb="FF993300"/>
      </right>
      <top/>
      <bottom/>
      <diagonal/>
    </border>
    <border>
      <left/>
      <right style="thin">
        <color rgb="FF980000"/>
      </right>
      <top style="thin">
        <color rgb="FF993300"/>
      </top>
      <bottom style="thin">
        <color rgb="FF993300"/>
      </bottom>
      <diagonal/>
    </border>
    <border>
      <left style="thin">
        <color rgb="FF993300"/>
      </left>
      <right/>
      <top/>
      <bottom style="thin">
        <color rgb="FF993300"/>
      </bottom>
      <diagonal/>
    </border>
    <border>
      <left style="thin">
        <color rgb="FF993300"/>
      </left>
      <right style="thin">
        <color rgb="FF000000"/>
      </right>
      <top style="thin">
        <color rgb="FF993300"/>
      </top>
      <bottom style="thin">
        <color rgb="FF9933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993300"/>
      </right>
      <top/>
      <bottom/>
      <diagonal/>
    </border>
    <border>
      <left style="thin">
        <color rgb="FF993300"/>
      </left>
      <right style="thin">
        <color rgb="FF000000"/>
      </right>
      <top/>
      <bottom/>
      <diagonal/>
    </border>
    <border>
      <left style="thin">
        <color rgb="FF973500"/>
      </left>
      <right style="thin">
        <color rgb="FF973500"/>
      </right>
      <top style="thin">
        <color rgb="FF973500"/>
      </top>
      <bottom style="thin">
        <color rgb="FF973500"/>
      </bottom>
      <diagonal/>
    </border>
    <border>
      <left style="thin">
        <color rgb="FF973500"/>
      </left>
      <right/>
      <top style="thin">
        <color rgb="FF973500"/>
      </top>
      <bottom style="thin">
        <color rgb="FF973500"/>
      </bottom>
      <diagonal/>
    </border>
    <border>
      <left/>
      <right/>
      <top style="thin">
        <color rgb="FF993300"/>
      </top>
      <bottom/>
      <diagonal/>
    </border>
    <border>
      <left/>
      <right style="thin">
        <color rgb="FF993300"/>
      </right>
      <top style="thin">
        <color rgb="FF993300"/>
      </top>
      <bottom/>
      <diagonal/>
    </border>
    <border>
      <left style="thin">
        <color rgb="FF973500"/>
      </left>
      <right style="thin">
        <color rgb="FF973500"/>
      </right>
      <top/>
      <bottom/>
      <diagonal/>
    </border>
    <border>
      <left style="thin">
        <color rgb="FF973500"/>
      </left>
      <right/>
      <top/>
      <bottom/>
      <diagonal/>
    </border>
    <border>
      <left/>
      <right style="thin">
        <color rgb="FF993300"/>
      </right>
      <top/>
      <bottom/>
      <diagonal/>
    </border>
    <border>
      <left/>
      <right style="thin">
        <color rgb="FF993300"/>
      </right>
      <top/>
      <bottom/>
      <diagonal/>
    </border>
    <border>
      <left style="thin">
        <color rgb="FF973500"/>
      </left>
      <right style="thin">
        <color rgb="FF973500"/>
      </right>
      <top/>
      <bottom style="thin">
        <color rgb="FF973500"/>
      </bottom>
      <diagonal/>
    </border>
    <border>
      <left/>
      <right/>
      <top/>
      <bottom style="thin">
        <color rgb="FF993300"/>
      </bottom>
      <diagonal/>
    </border>
    <border>
      <left/>
      <right style="thin">
        <color rgb="FF993300"/>
      </right>
      <top/>
      <bottom style="thin">
        <color rgb="FF993300"/>
      </bottom>
      <diagonal/>
    </border>
    <border>
      <left style="thin">
        <color rgb="FF973500"/>
      </left>
      <right/>
      <top style="thin">
        <color rgb="FF973500"/>
      </top>
      <bottom style="thin">
        <color rgb="FF973500"/>
      </bottom>
      <diagonal/>
    </border>
    <border>
      <left style="thin">
        <color rgb="FF3A7D22"/>
      </left>
      <right/>
      <top/>
      <bottom/>
      <diagonal/>
    </border>
    <border>
      <left/>
      <right/>
      <top style="thin">
        <color rgb="FF993300"/>
      </top>
      <bottom style="thin">
        <color rgb="FF993300"/>
      </bottom>
      <diagonal/>
    </border>
    <border>
      <left style="thin">
        <color rgb="FF993300"/>
      </left>
      <right/>
      <top style="thin">
        <color rgb="FF993300"/>
      </top>
      <bottom style="thin">
        <color rgb="FF993300"/>
      </bottom>
      <diagonal/>
    </border>
    <border>
      <left style="thin">
        <color rgb="FF993300"/>
      </left>
      <right/>
      <top/>
      <bottom style="thin">
        <color rgb="FF993300"/>
      </bottom>
      <diagonal/>
    </border>
    <border>
      <left style="thin">
        <color rgb="FF993300"/>
      </left>
      <right style="thin">
        <color rgb="FF980000"/>
      </right>
      <top/>
      <bottom style="thin">
        <color rgb="FF993300"/>
      </bottom>
      <diagonal/>
    </border>
    <border>
      <left style="thin">
        <color rgb="FF993300"/>
      </left>
      <right style="thin">
        <color rgb="FF993300"/>
      </right>
      <top/>
      <bottom/>
      <diagonal/>
    </border>
    <border>
      <left/>
      <right/>
      <top style="medium">
        <color rgb="FF993300"/>
      </top>
      <bottom style="thin">
        <color rgb="FF993300"/>
      </bottom>
      <diagonal/>
    </border>
    <border>
      <left/>
      <right style="medium">
        <color rgb="FF993300"/>
      </right>
      <top style="medium">
        <color rgb="FF993300"/>
      </top>
      <bottom style="thin">
        <color rgb="FF993300"/>
      </bottom>
      <diagonal/>
    </border>
    <border>
      <left style="medium">
        <color rgb="FF993300"/>
      </left>
      <right/>
      <top style="medium">
        <color rgb="FF993300"/>
      </top>
      <bottom style="thin">
        <color rgb="FF993300"/>
      </bottom>
      <diagonal/>
    </border>
    <border>
      <left/>
      <right style="thin">
        <color rgb="FF980000"/>
      </right>
      <top style="medium">
        <color rgb="FF993300"/>
      </top>
      <bottom style="thin">
        <color rgb="FF993300"/>
      </bottom>
      <diagonal/>
    </border>
    <border>
      <left style="thin">
        <color rgb="FF993300"/>
      </left>
      <right/>
      <top style="thin">
        <color rgb="FF993300"/>
      </top>
      <bottom/>
      <diagonal/>
    </border>
    <border>
      <left style="medium">
        <color rgb="FF993300"/>
      </left>
      <right style="thin">
        <color rgb="FF993300"/>
      </right>
      <top style="thin">
        <color rgb="FF993300"/>
      </top>
      <bottom/>
      <diagonal/>
    </border>
    <border>
      <left/>
      <right style="thin">
        <color rgb="FF980000"/>
      </right>
      <top/>
      <bottom style="thin">
        <color rgb="FF993300"/>
      </bottom>
      <diagonal/>
    </border>
    <border>
      <left style="thin">
        <color rgb="FF993300"/>
      </left>
      <right/>
      <top/>
      <bottom style="thin">
        <color rgb="FF993300"/>
      </bottom>
      <diagonal/>
    </border>
    <border>
      <left style="medium">
        <color rgb="FF993300"/>
      </left>
      <right style="thin">
        <color rgb="FF993300"/>
      </right>
      <top/>
      <bottom style="thin">
        <color rgb="FF993300"/>
      </bottom>
      <diagonal/>
    </border>
    <border>
      <left style="medium">
        <color rgb="FF993300"/>
      </left>
      <right/>
      <top/>
      <bottom/>
      <diagonal/>
    </border>
    <border>
      <left/>
      <right style="medium">
        <color rgb="FF993300"/>
      </right>
      <top/>
      <bottom/>
      <diagonal/>
    </border>
    <border>
      <left style="medium">
        <color rgb="FF993300"/>
      </left>
      <right/>
      <top style="thin">
        <color rgb="FF993300"/>
      </top>
      <bottom style="medium">
        <color rgb="FF993300"/>
      </bottom>
      <diagonal/>
    </border>
    <border>
      <left style="thin">
        <color rgb="FF993300"/>
      </left>
      <right/>
      <top style="thin">
        <color rgb="FF993300"/>
      </top>
      <bottom style="medium">
        <color rgb="FF993300"/>
      </bottom>
      <diagonal/>
    </border>
    <border>
      <left style="thin">
        <color rgb="FF993300"/>
      </left>
      <right style="medium">
        <color rgb="FF993300"/>
      </right>
      <top style="thin">
        <color rgb="FF993300"/>
      </top>
      <bottom style="medium">
        <color rgb="FF993300"/>
      </bottom>
      <diagonal/>
    </border>
    <border>
      <left style="thin">
        <color rgb="FF993300"/>
      </left>
      <right style="thin">
        <color rgb="FF980000"/>
      </right>
      <top style="thin">
        <color rgb="FF993300"/>
      </top>
      <bottom style="medium">
        <color rgb="FF993300"/>
      </bottom>
      <diagonal/>
    </border>
    <border>
      <left/>
      <right style="thin">
        <color rgb="FF993300"/>
      </right>
      <top style="thin">
        <color rgb="FF993300"/>
      </top>
      <bottom style="thin">
        <color rgb="FF993300"/>
      </bottom>
      <diagonal/>
    </border>
    <border>
      <left/>
      <right style="thin">
        <color rgb="FF993300"/>
      </right>
      <top/>
      <bottom style="thin">
        <color rgb="FF9933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993300"/>
      </right>
      <top style="thin">
        <color rgb="FF000000"/>
      </top>
      <bottom style="thin">
        <color rgb="FF000000"/>
      </bottom>
      <diagonal/>
    </border>
    <border>
      <left style="thin">
        <color rgb="FF993300"/>
      </left>
      <right style="thin">
        <color rgb="FF993300"/>
      </right>
      <top style="thin">
        <color rgb="FF000000"/>
      </top>
      <bottom style="thin">
        <color rgb="FF000000"/>
      </bottom>
      <diagonal/>
    </border>
    <border>
      <left style="thin">
        <color rgb="FF9933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993300"/>
      </right>
      <top/>
      <bottom style="thin">
        <color rgb="FF980000"/>
      </bottom>
      <diagonal/>
    </border>
    <border>
      <left style="thin">
        <color rgb="FF993300"/>
      </left>
      <right/>
      <top/>
      <bottom style="thin">
        <color rgb="FF980000"/>
      </bottom>
      <diagonal/>
    </border>
    <border>
      <left/>
      <right/>
      <top/>
      <bottom/>
      <diagonal/>
    </border>
    <border>
      <left/>
      <right/>
      <top/>
      <bottom style="thin">
        <color rgb="FF993300"/>
      </bottom>
      <diagonal/>
    </border>
    <border>
      <left/>
      <right/>
      <top style="thin">
        <color rgb="FF993300"/>
      </top>
      <bottom style="thin">
        <color rgb="FF993300"/>
      </bottom>
      <diagonal/>
    </border>
    <border>
      <left/>
      <right/>
      <top style="thin">
        <color rgb="FF993300"/>
      </top>
      <bottom/>
      <diagonal/>
    </border>
    <border>
      <left/>
      <right style="thin">
        <color rgb="FF993300"/>
      </right>
      <top style="thin">
        <color rgb="FF9933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993300"/>
      </top>
      <bottom/>
      <diagonal/>
    </border>
    <border>
      <left style="thin">
        <color rgb="FF000000"/>
      </left>
      <right style="thin">
        <color rgb="FF980000"/>
      </right>
      <top style="thin">
        <color rgb="FF9933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980000"/>
      </right>
      <top/>
      <bottom/>
      <diagonal/>
    </border>
    <border>
      <left style="thin">
        <color rgb="FF993300"/>
      </left>
      <right style="thin">
        <color rgb="FF993300"/>
      </right>
      <top/>
      <bottom style="thin">
        <color rgb="FF993300"/>
      </bottom>
      <diagonal/>
    </border>
    <border>
      <left style="thin">
        <color rgb="FF000000"/>
      </left>
      <right style="thin">
        <color rgb="FF000000"/>
      </right>
      <top/>
      <bottom style="thin">
        <color rgb="FF993300"/>
      </bottom>
      <diagonal/>
    </border>
    <border>
      <left style="thin">
        <color rgb="FF000000"/>
      </left>
      <right style="thin">
        <color rgb="FF980000"/>
      </right>
      <top/>
      <bottom style="thin">
        <color rgb="FF993300"/>
      </bottom>
      <diagonal/>
    </border>
    <border>
      <left/>
      <right style="thin">
        <color rgb="FF993300"/>
      </right>
      <top/>
      <bottom style="thin">
        <color rgb="FF980000"/>
      </bottom>
      <diagonal/>
    </border>
    <border>
      <left style="thin">
        <color rgb="FF993300"/>
      </left>
      <right style="thin">
        <color rgb="FF993300"/>
      </right>
      <top/>
      <bottom style="thin">
        <color rgb="FF980000"/>
      </bottom>
      <diagonal/>
    </border>
    <border>
      <left style="thin">
        <color rgb="FF993300"/>
      </left>
      <right style="thin">
        <color rgb="FF993300"/>
      </right>
      <top/>
      <bottom style="thin">
        <color rgb="FF980000"/>
      </bottom>
      <diagonal/>
    </border>
    <border>
      <left style="thin">
        <color rgb="FF993300"/>
      </left>
      <right style="thin">
        <color rgb="FF000000"/>
      </right>
      <top style="thin">
        <color rgb="FF993300"/>
      </top>
      <bottom/>
      <diagonal/>
    </border>
    <border>
      <left style="medium">
        <color rgb="FF993300"/>
      </left>
      <right style="medium">
        <color rgb="FF993300"/>
      </right>
      <top style="medium">
        <color rgb="FF993300"/>
      </top>
      <bottom style="medium">
        <color rgb="FFCCCCCC"/>
      </bottom>
      <diagonal/>
    </border>
    <border>
      <left style="medium">
        <color rgb="FF993300"/>
      </left>
      <right/>
      <top style="medium">
        <color rgb="FF993300"/>
      </top>
      <bottom style="medium">
        <color rgb="FFCCCCCC"/>
      </bottom>
      <diagonal/>
    </border>
    <border>
      <left/>
      <right/>
      <top style="medium">
        <color rgb="FF993300"/>
      </top>
      <bottom style="medium">
        <color rgb="FFCCCCCC"/>
      </bottom>
      <diagonal/>
    </border>
    <border>
      <left/>
      <right style="medium">
        <color rgb="FF993300"/>
      </right>
      <top style="medium">
        <color rgb="FF993300"/>
      </top>
      <bottom style="medium">
        <color rgb="FFCCCCCC"/>
      </bottom>
      <diagonal/>
    </border>
    <border>
      <left style="medium">
        <color rgb="FF993300"/>
      </left>
      <right/>
      <top style="medium">
        <color rgb="FF993300"/>
      </top>
      <bottom style="medium">
        <color rgb="FF993300"/>
      </bottom>
      <diagonal/>
    </border>
    <border>
      <left/>
      <right style="medium">
        <color rgb="FF993300"/>
      </right>
      <top style="medium">
        <color rgb="FF993300"/>
      </top>
      <bottom style="medium">
        <color rgb="FF993300"/>
      </bottom>
      <diagonal/>
    </border>
    <border>
      <left/>
      <right/>
      <top style="medium">
        <color rgb="FF993300"/>
      </top>
      <bottom style="medium">
        <color rgb="FF993300"/>
      </bottom>
      <diagonal/>
    </border>
    <border>
      <left style="medium">
        <color rgb="FF993300"/>
      </left>
      <right style="medium">
        <color rgb="FF993300"/>
      </right>
      <top style="medium">
        <color rgb="FFCCCCCC"/>
      </top>
      <bottom style="medium">
        <color rgb="FF993300"/>
      </bottom>
      <diagonal/>
    </border>
    <border>
      <left style="medium">
        <color rgb="FFCCCCCC"/>
      </left>
      <right style="medium">
        <color rgb="FF993300"/>
      </right>
      <top style="medium">
        <color rgb="FFCCCCCC"/>
      </top>
      <bottom style="medium">
        <color rgb="FF000000"/>
      </bottom>
      <diagonal/>
    </border>
    <border>
      <left style="medium">
        <color rgb="FF993300"/>
      </left>
      <right style="medium">
        <color rgb="FF9933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933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93300"/>
      </right>
      <top style="medium">
        <color rgb="FFCCCCCC"/>
      </top>
      <bottom style="medium">
        <color rgb="FF9933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/>
      <right style="thin">
        <color rgb="FFC00000"/>
      </right>
      <top style="thin">
        <color rgb="FF7F340D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7F340D"/>
      </top>
      <bottom style="thin">
        <color rgb="FFC00000"/>
      </bottom>
      <diagonal/>
    </border>
    <border>
      <left/>
      <right style="thin">
        <color rgb="FFC00000"/>
      </right>
      <top/>
      <bottom/>
      <diagonal/>
    </border>
    <border>
      <left style="thin">
        <color rgb="FF993300"/>
      </left>
      <right style="thin">
        <color rgb="FF993300"/>
      </right>
      <top style="thin">
        <color rgb="FF275317"/>
      </top>
      <bottom/>
      <diagonal/>
    </border>
  </borders>
  <cellStyleXfs count="1">
    <xf numFmtId="0" fontId="0" fillId="0" borderId="0"/>
  </cellStyleXfs>
  <cellXfs count="474">
    <xf numFmtId="0" fontId="0" fillId="0" borderId="0" xfId="0" applyFont="1" applyAlignment="1"/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5" fillId="0" borderId="0" xfId="0" applyFont="1" applyAlignment="1"/>
    <xf numFmtId="2" fontId="6" fillId="0" borderId="18" xfId="0" applyNumberFormat="1" applyFont="1" applyBorder="1" applyAlignment="1">
      <alignment horizontal="left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2" fontId="8" fillId="0" borderId="0" xfId="0" applyNumberFormat="1" applyFont="1" applyAlignment="1">
      <alignment horizontal="left"/>
    </xf>
    <xf numFmtId="4" fontId="8" fillId="2" borderId="21" xfId="0" applyNumberFormat="1" applyFont="1" applyFill="1" applyBorder="1" applyAlignment="1">
      <alignment horizontal="right"/>
    </xf>
    <xf numFmtId="4" fontId="8" fillId="2" borderId="22" xfId="0" applyNumberFormat="1" applyFont="1" applyFill="1" applyBorder="1" applyAlignment="1">
      <alignment horizontal="right"/>
    </xf>
    <xf numFmtId="4" fontId="8" fillId="0" borderId="20" xfId="0" applyNumberFormat="1" applyFont="1" applyBorder="1" applyAlignment="1">
      <alignment horizontal="right"/>
    </xf>
    <xf numFmtId="4" fontId="8" fillId="2" borderId="23" xfId="0" applyNumberFormat="1" applyFont="1" applyFill="1" applyBorder="1" applyAlignment="1">
      <alignment horizontal="right"/>
    </xf>
    <xf numFmtId="4" fontId="8" fillId="2" borderId="24" xfId="0" applyNumberFormat="1" applyFont="1" applyFill="1" applyBorder="1" applyAlignment="1">
      <alignment horizontal="right"/>
    </xf>
    <xf numFmtId="4" fontId="8" fillId="2" borderId="25" xfId="0" applyNumberFormat="1" applyFont="1" applyFill="1" applyBorder="1" applyAlignment="1">
      <alignment horizontal="right"/>
    </xf>
    <xf numFmtId="4" fontId="8" fillId="0" borderId="26" xfId="0" applyNumberFormat="1" applyFont="1" applyBorder="1" applyAlignment="1">
      <alignment horizontal="right"/>
    </xf>
    <xf numFmtId="4" fontId="8" fillId="2" borderId="27" xfId="0" applyNumberFormat="1" applyFont="1" applyFill="1" applyBorder="1" applyAlignment="1">
      <alignment horizontal="right"/>
    </xf>
    <xf numFmtId="4" fontId="8" fillId="0" borderId="28" xfId="0" applyNumberFormat="1" applyFont="1" applyBorder="1" applyAlignment="1">
      <alignment horizontal="right"/>
    </xf>
    <xf numFmtId="4" fontId="8" fillId="0" borderId="10" xfId="0" applyNumberFormat="1" applyFont="1" applyBorder="1" applyAlignment="1">
      <alignment horizontal="right"/>
    </xf>
    <xf numFmtId="2" fontId="8" fillId="0" borderId="11" xfId="0" applyNumberFormat="1" applyFont="1" applyBorder="1" applyAlignment="1">
      <alignment horizontal="left"/>
    </xf>
    <xf numFmtId="4" fontId="8" fillId="0" borderId="29" xfId="0" applyNumberFormat="1" applyFont="1" applyBorder="1" applyAlignment="1">
      <alignment horizontal="right"/>
    </xf>
    <xf numFmtId="4" fontId="8" fillId="0" borderId="30" xfId="0" applyNumberFormat="1" applyFont="1" applyBorder="1" applyAlignment="1">
      <alignment horizontal="right"/>
    </xf>
    <xf numFmtId="4" fontId="8" fillId="0" borderId="31" xfId="0" applyNumberFormat="1" applyFont="1" applyBorder="1" applyAlignment="1">
      <alignment horizontal="right"/>
    </xf>
    <xf numFmtId="0" fontId="9" fillId="0" borderId="0" xfId="0" applyFont="1"/>
    <xf numFmtId="0" fontId="8" fillId="0" borderId="0" xfId="0" applyFont="1"/>
    <xf numFmtId="0" fontId="1" fillId="2" borderId="1" xfId="0" applyFont="1" applyFill="1" applyBorder="1"/>
    <xf numFmtId="49" fontId="7" fillId="2" borderId="80" xfId="0" applyNumberFormat="1" applyFont="1" applyFill="1" applyBorder="1" applyAlignment="1">
      <alignment horizontal="left"/>
    </xf>
    <xf numFmtId="0" fontId="7" fillId="2" borderId="35" xfId="0" applyFont="1" applyFill="1" applyBorder="1" applyAlignment="1">
      <alignment horizontal="right" vertical="center" wrapText="1"/>
    </xf>
    <xf numFmtId="0" fontId="7" fillId="0" borderId="35" xfId="0" applyFont="1" applyBorder="1" applyAlignment="1">
      <alignment horizontal="right" vertical="center" wrapText="1"/>
    </xf>
    <xf numFmtId="49" fontId="7" fillId="2" borderId="92" xfId="0" applyNumberFormat="1" applyFont="1" applyFill="1" applyBorder="1" applyAlignment="1">
      <alignment horizontal="left"/>
    </xf>
    <xf numFmtId="4" fontId="7" fillId="2" borderId="126" xfId="0" applyNumberFormat="1" applyFont="1" applyFill="1" applyBorder="1"/>
    <xf numFmtId="165" fontId="8" fillId="2" borderId="54" xfId="0" applyNumberFormat="1" applyFont="1" applyFill="1" applyBorder="1" applyAlignment="1">
      <alignment horizontal="left"/>
    </xf>
    <xf numFmtId="4" fontId="8" fillId="2" borderId="64" xfId="0" applyNumberFormat="1" applyFont="1" applyFill="1" applyBorder="1"/>
    <xf numFmtId="49" fontId="8" fillId="2" borderId="54" xfId="0" applyNumberFormat="1" applyFont="1" applyFill="1" applyBorder="1" applyAlignment="1">
      <alignment horizontal="left"/>
    </xf>
    <xf numFmtId="165" fontId="7" fillId="2" borderId="54" xfId="0" applyNumberFormat="1" applyFont="1" applyFill="1" applyBorder="1" applyAlignment="1">
      <alignment horizontal="left"/>
    </xf>
    <xf numFmtId="4" fontId="7" fillId="2" borderId="64" xfId="0" applyNumberFormat="1" applyFont="1" applyFill="1" applyBorder="1"/>
    <xf numFmtId="0" fontId="6" fillId="0" borderId="0" xfId="0" applyFont="1"/>
    <xf numFmtId="4" fontId="7" fillId="2" borderId="38" xfId="0" applyNumberFormat="1" applyFont="1" applyFill="1" applyBorder="1" applyAlignment="1">
      <alignment horizontal="right"/>
    </xf>
    <xf numFmtId="4" fontId="7" fillId="0" borderId="37" xfId="0" applyNumberFormat="1" applyFont="1" applyBorder="1" applyAlignment="1">
      <alignment horizontal="right"/>
    </xf>
    <xf numFmtId="4" fontId="8" fillId="2" borderId="64" xfId="0" applyNumberFormat="1" applyFont="1" applyFill="1" applyBorder="1" applyAlignment="1">
      <alignment horizontal="right"/>
    </xf>
    <xf numFmtId="4" fontId="7" fillId="0" borderId="35" xfId="0" applyNumberFormat="1" applyFont="1" applyBorder="1" applyAlignment="1">
      <alignment horizontal="right"/>
    </xf>
    <xf numFmtId="165" fontId="7" fillId="2" borderId="92" xfId="0" applyNumberFormat="1" applyFont="1" applyFill="1" applyBorder="1" applyAlignment="1">
      <alignment horizontal="left" vertical="top" wrapText="1"/>
    </xf>
    <xf numFmtId="4" fontId="8" fillId="0" borderId="40" xfId="0" applyNumberFormat="1" applyFont="1" applyBorder="1" applyAlignment="1">
      <alignment horizontal="right"/>
    </xf>
    <xf numFmtId="165" fontId="7" fillId="2" borderId="80" xfId="0" applyNumberFormat="1" applyFont="1" applyFill="1" applyBorder="1" applyAlignment="1">
      <alignment horizontal="left" wrapText="1"/>
    </xf>
    <xf numFmtId="165" fontId="7" fillId="2" borderId="80" xfId="0" applyNumberFormat="1" applyFont="1" applyFill="1" applyBorder="1" applyAlignment="1">
      <alignment horizontal="left" vertical="top" wrapText="1"/>
    </xf>
    <xf numFmtId="4" fontId="8" fillId="2" borderId="64" xfId="0" applyNumberFormat="1" applyFont="1" applyFill="1" applyBorder="1" applyAlignment="1">
      <alignment horizontal="center"/>
    </xf>
    <xf numFmtId="165" fontId="8" fillId="2" borderId="81" xfId="0" applyNumberFormat="1" applyFont="1" applyFill="1" applyBorder="1" applyAlignment="1">
      <alignment horizontal="left"/>
    </xf>
    <xf numFmtId="4" fontId="8" fillId="2" borderId="98" xfId="0" applyNumberFormat="1" applyFont="1" applyFill="1" applyBorder="1"/>
    <xf numFmtId="0" fontId="8" fillId="2" borderId="1" xfId="0" applyFont="1" applyFill="1" applyBorder="1"/>
    <xf numFmtId="0" fontId="7" fillId="2" borderId="117" xfId="0" applyFont="1" applyFill="1" applyBorder="1"/>
    <xf numFmtId="0" fontId="7" fillId="0" borderId="118" xfId="0" quotePrefix="1" applyFont="1" applyBorder="1" applyAlignment="1">
      <alignment horizontal="right"/>
    </xf>
    <xf numFmtId="0" fontId="7" fillId="0" borderId="118" xfId="0" applyFont="1" applyBorder="1" applyAlignment="1">
      <alignment horizontal="right"/>
    </xf>
    <xf numFmtId="0" fontId="8" fillId="2" borderId="119" xfId="0" applyFont="1" applyFill="1" applyBorder="1" applyAlignment="1">
      <alignment horizontal="left"/>
    </xf>
    <xf numFmtId="4" fontId="8" fillId="2" borderId="120" xfId="0" applyNumberFormat="1" applyFont="1" applyFill="1" applyBorder="1"/>
    <xf numFmtId="0" fontId="8" fillId="0" borderId="119" xfId="0" applyFont="1" applyBorder="1" applyAlignment="1">
      <alignment horizontal="left"/>
    </xf>
    <xf numFmtId="4" fontId="7" fillId="0" borderId="120" xfId="0" applyNumberFormat="1" applyFont="1" applyBorder="1"/>
    <xf numFmtId="4" fontId="5" fillId="0" borderId="120" xfId="0" applyNumberFormat="1" applyFont="1" applyBorder="1" applyAlignment="1">
      <alignment horizontal="right"/>
    </xf>
    <xf numFmtId="0" fontId="7" fillId="2" borderId="119" xfId="0" applyFont="1" applyFill="1" applyBorder="1" applyAlignment="1">
      <alignment horizontal="left"/>
    </xf>
    <xf numFmtId="4" fontId="7" fillId="2" borderId="120" xfId="0" applyNumberFormat="1" applyFont="1" applyFill="1" applyBorder="1"/>
    <xf numFmtId="0" fontId="8" fillId="0" borderId="125" xfId="0" applyFont="1" applyBorder="1" applyAlignment="1">
      <alignment horizontal="left"/>
    </xf>
    <xf numFmtId="4" fontId="8" fillId="0" borderId="122" xfId="0" applyNumberFormat="1" applyFont="1" applyBorder="1"/>
    <xf numFmtId="4" fontId="7" fillId="2" borderId="118" xfId="0" applyNumberFormat="1" applyFont="1" applyFill="1" applyBorder="1"/>
    <xf numFmtId="0" fontId="8" fillId="2" borderId="1" xfId="0" applyFont="1" applyFill="1" applyBorder="1" applyAlignment="1">
      <alignment horizontal="left"/>
    </xf>
    <xf numFmtId="0" fontId="5" fillId="0" borderId="0" xfId="0" applyFont="1"/>
    <xf numFmtId="4" fontId="5" fillId="0" borderId="0" xfId="0" applyNumberFormat="1" applyFont="1"/>
    <xf numFmtId="0" fontId="7" fillId="2" borderId="1" xfId="0" applyFont="1" applyFill="1" applyBorder="1"/>
    <xf numFmtId="0" fontId="7" fillId="2" borderId="117" xfId="0" applyFont="1" applyFill="1" applyBorder="1" applyAlignment="1">
      <alignment vertical="center" wrapText="1"/>
    </xf>
    <xf numFmtId="4" fontId="7" fillId="0" borderId="119" xfId="0" applyNumberFormat="1" applyFont="1" applyBorder="1" applyAlignment="1">
      <alignment vertical="center"/>
    </xf>
    <xf numFmtId="4" fontId="7" fillId="2" borderId="120" xfId="0" applyNumberFormat="1" applyFont="1" applyFill="1" applyBorder="1" applyAlignment="1">
      <alignment vertical="center"/>
    </xf>
    <xf numFmtId="164" fontId="8" fillId="2" borderId="120" xfId="0" applyNumberFormat="1" applyFont="1" applyFill="1" applyBorder="1"/>
    <xf numFmtId="0" fontId="7" fillId="0" borderId="119" xfId="0" applyFont="1" applyBorder="1"/>
    <xf numFmtId="0" fontId="9" fillId="2" borderId="119" xfId="0" applyFont="1" applyFill="1" applyBorder="1"/>
    <xf numFmtId="0" fontId="7" fillId="0" borderId="119" xfId="0" applyFont="1" applyBorder="1" applyAlignment="1">
      <alignment horizontal="left"/>
    </xf>
    <xf numFmtId="0" fontId="7" fillId="0" borderId="121" xfId="0" applyFont="1" applyBorder="1" applyAlignment="1"/>
    <xf numFmtId="4" fontId="7" fillId="0" borderId="122" xfId="0" applyNumberFormat="1" applyFont="1" applyBorder="1" applyAlignment="1">
      <alignment vertical="center"/>
    </xf>
    <xf numFmtId="0" fontId="7" fillId="2" borderId="123" xfId="0" applyFont="1" applyFill="1" applyBorder="1"/>
    <xf numFmtId="4" fontId="7" fillId="2" borderId="124" xfId="0" applyNumberFormat="1" applyFont="1" applyFill="1" applyBorder="1" applyAlignment="1">
      <alignment vertical="center"/>
    </xf>
    <xf numFmtId="0" fontId="12" fillId="0" borderId="0" xfId="0" applyFont="1"/>
    <xf numFmtId="0" fontId="5" fillId="0" borderId="105" xfId="0" applyFont="1" applyBorder="1" applyAlignment="1">
      <alignment wrapText="1"/>
    </xf>
    <xf numFmtId="0" fontId="7" fillId="3" borderId="106" xfId="0" applyFont="1" applyFill="1" applyBorder="1" applyAlignment="1">
      <alignment horizontal="center" vertical="center" wrapText="1"/>
    </xf>
    <xf numFmtId="0" fontId="4" fillId="0" borderId="107" xfId="0" applyFont="1" applyBorder="1"/>
    <xf numFmtId="0" fontId="4" fillId="0" borderId="108" xfId="0" applyFont="1" applyBorder="1"/>
    <xf numFmtId="0" fontId="7" fillId="0" borderId="106" xfId="0" applyFont="1" applyBorder="1" applyAlignment="1">
      <alignment horizontal="center" vertical="center" wrapText="1"/>
    </xf>
    <xf numFmtId="0" fontId="7" fillId="3" borderId="109" xfId="0" applyFont="1" applyFill="1" applyBorder="1" applyAlignment="1">
      <alignment horizontal="center" vertical="center" wrapText="1"/>
    </xf>
    <xf numFmtId="0" fontId="4" fillId="0" borderId="110" xfId="0" applyFont="1" applyBorder="1"/>
    <xf numFmtId="0" fontId="4" fillId="0" borderId="111" xfId="0" applyFont="1" applyBorder="1"/>
    <xf numFmtId="0" fontId="7" fillId="0" borderId="112" xfId="0" applyFont="1" applyBorder="1" applyAlignment="1">
      <alignment horizontal="right" vertical="center" wrapText="1"/>
    </xf>
    <xf numFmtId="0" fontId="7" fillId="0" borderId="113" xfId="0" applyFont="1" applyBorder="1" applyAlignment="1">
      <alignment horizontal="right" vertical="center" wrapText="1"/>
    </xf>
    <xf numFmtId="0" fontId="8" fillId="3" borderId="114" xfId="0" applyFont="1" applyFill="1" applyBorder="1" applyAlignment="1">
      <alignment horizontal="right" wrapText="1"/>
    </xf>
    <xf numFmtId="4" fontId="8" fillId="0" borderId="115" xfId="0" applyNumberFormat="1" applyFont="1" applyBorder="1" applyAlignment="1">
      <alignment horizontal="right" wrapText="1"/>
    </xf>
    <xf numFmtId="0" fontId="8" fillId="0" borderId="115" xfId="0" applyFont="1" applyBorder="1" applyAlignment="1">
      <alignment horizontal="right" wrapText="1"/>
    </xf>
    <xf numFmtId="0" fontId="7" fillId="0" borderId="112" xfId="0" applyFont="1" applyBorder="1" applyAlignment="1">
      <alignment horizontal="right" wrapText="1"/>
    </xf>
    <xf numFmtId="4" fontId="7" fillId="0" borderId="116" xfId="0" applyNumberFormat="1" applyFont="1" applyBorder="1" applyAlignment="1">
      <alignment horizontal="right" wrapText="1"/>
    </xf>
    <xf numFmtId="0" fontId="7" fillId="0" borderId="116" xfId="0" applyFont="1" applyBorder="1" applyAlignment="1">
      <alignment horizontal="right" wrapText="1"/>
    </xf>
    <xf numFmtId="0" fontId="7" fillId="2" borderId="92" xfId="0" applyFont="1" applyFill="1" applyBorder="1" applyAlignment="1">
      <alignment horizontal="left"/>
    </xf>
    <xf numFmtId="2" fontId="13" fillId="2" borderId="38" xfId="0" applyNumberFormat="1" applyFont="1" applyFill="1" applyBorder="1" applyAlignment="1">
      <alignment horizontal="left" vertical="center" wrapText="1"/>
    </xf>
    <xf numFmtId="167" fontId="7" fillId="2" borderId="22" xfId="0" applyNumberFormat="1" applyFont="1" applyFill="1" applyBorder="1" applyAlignment="1">
      <alignment horizontal="left" vertical="center" wrapText="1"/>
    </xf>
    <xf numFmtId="167" fontId="7" fillId="2" borderId="104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7" fillId="2" borderId="81" xfId="0" applyFont="1" applyFill="1" applyBorder="1"/>
    <xf numFmtId="0" fontId="7" fillId="2" borderId="35" xfId="0" applyFont="1" applyFill="1" applyBorder="1" applyAlignment="1">
      <alignment horizontal="center"/>
    </xf>
    <xf numFmtId="0" fontId="7" fillId="2" borderId="43" xfId="0" applyFont="1" applyFill="1" applyBorder="1" applyAlignment="1">
      <alignment horizontal="center"/>
    </xf>
    <xf numFmtId="0" fontId="5" fillId="0" borderId="30" xfId="0" quotePrefix="1" applyFont="1" applyBorder="1" applyAlignment="1"/>
    <xf numFmtId="164" fontId="8" fillId="0" borderId="40" xfId="0" applyNumberFormat="1" applyFont="1" applyBorder="1" applyAlignment="1">
      <alignment vertical="center"/>
    </xf>
    <xf numFmtId="164" fontId="5" fillId="0" borderId="30" xfId="0" quotePrefix="1" applyNumberFormat="1" applyFont="1" applyBorder="1"/>
    <xf numFmtId="164" fontId="5" fillId="0" borderId="30" xfId="0" applyNumberFormat="1" applyFont="1" applyBorder="1" applyAlignment="1"/>
    <xf numFmtId="164" fontId="5" fillId="0" borderId="40" xfId="0" applyNumberFormat="1" applyFont="1" applyBorder="1" applyAlignment="1">
      <alignment horizontal="right"/>
    </xf>
    <xf numFmtId="164" fontId="5" fillId="0" borderId="30" xfId="0" applyNumberFormat="1" applyFont="1" applyBorder="1"/>
    <xf numFmtId="164" fontId="5" fillId="0" borderId="30" xfId="0" applyNumberFormat="1" applyFont="1" applyBorder="1" applyAlignment="1">
      <alignment horizontal="right"/>
    </xf>
    <xf numFmtId="164" fontId="1" fillId="2" borderId="1" xfId="0" applyNumberFormat="1" applyFont="1" applyFill="1" applyBorder="1"/>
    <xf numFmtId="0" fontId="7" fillId="0" borderId="3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4" fillId="0" borderId="2" xfId="0" applyFont="1" applyBorder="1"/>
    <xf numFmtId="0" fontId="4" fillId="0" borderId="33" xfId="0" applyFont="1" applyBorder="1"/>
    <xf numFmtId="0" fontId="7" fillId="2" borderId="37" xfId="0" applyFont="1" applyFill="1" applyBorder="1" applyAlignment="1">
      <alignment horizontal="center" vertical="center" wrapText="1"/>
    </xf>
    <xf numFmtId="0" fontId="4" fillId="0" borderId="41" xfId="0" applyFont="1" applyBorder="1"/>
    <xf numFmtId="0" fontId="4" fillId="0" borderId="34" xfId="0" applyFont="1" applyBorder="1"/>
    <xf numFmtId="0" fontId="7" fillId="0" borderId="35" xfId="0" applyFont="1" applyBorder="1" applyAlignment="1">
      <alignment horizontal="center"/>
    </xf>
    <xf numFmtId="0" fontId="4" fillId="0" borderId="30" xfId="0" applyFont="1" applyBorder="1"/>
    <xf numFmtId="14" fontId="8" fillId="2" borderId="54" xfId="0" quotePrefix="1" applyNumberFormat="1" applyFont="1" applyFill="1" applyBorder="1" applyAlignment="1">
      <alignment horizontal="left" vertical="center"/>
    </xf>
    <xf numFmtId="4" fontId="8" fillId="0" borderId="39" xfId="0" applyNumberFormat="1" applyFont="1" applyBorder="1" applyAlignment="1">
      <alignment horizontal="center" vertical="top"/>
    </xf>
    <xf numFmtId="4" fontId="8" fillId="3" borderId="64" xfId="0" applyNumberFormat="1" applyFont="1" applyFill="1" applyBorder="1" applyAlignment="1">
      <alignment horizontal="center" vertical="top"/>
    </xf>
    <xf numFmtId="4" fontId="7" fillId="3" borderId="64" xfId="0" applyNumberFormat="1" applyFont="1" applyFill="1" applyBorder="1" applyAlignment="1">
      <alignment horizontal="center" vertical="top"/>
    </xf>
    <xf numFmtId="4" fontId="8" fillId="0" borderId="40" xfId="0" applyNumberFormat="1" applyFont="1" applyBorder="1" applyAlignment="1">
      <alignment horizontal="center" vertical="top"/>
    </xf>
    <xf numFmtId="165" fontId="8" fillId="2" borderId="54" xfId="0" quotePrefix="1" applyNumberFormat="1" applyFont="1" applyFill="1" applyBorder="1" applyAlignment="1">
      <alignment horizontal="left" vertical="center"/>
    </xf>
    <xf numFmtId="165" fontId="8" fillId="0" borderId="39" xfId="0" quotePrefix="1" applyNumberFormat="1" applyFont="1" applyBorder="1" applyAlignment="1">
      <alignment horizontal="left" vertical="center"/>
    </xf>
    <xf numFmtId="165" fontId="8" fillId="0" borderId="101" xfId="0" quotePrefix="1" applyNumberFormat="1" applyFont="1" applyBorder="1" applyAlignment="1">
      <alignment horizontal="left" vertical="center"/>
    </xf>
    <xf numFmtId="4" fontId="8" fillId="0" borderId="101" xfId="0" applyNumberFormat="1" applyFont="1" applyBorder="1" applyAlignment="1">
      <alignment horizontal="center" vertical="top"/>
    </xf>
    <xf numFmtId="4" fontId="8" fillId="3" borderId="102" xfId="0" applyNumberFormat="1" applyFont="1" applyFill="1" applyBorder="1" applyAlignment="1">
      <alignment horizontal="center" vertical="top"/>
    </xf>
    <xf numFmtId="4" fontId="7" fillId="3" borderId="102" xfId="0" applyNumberFormat="1" applyFont="1" applyFill="1" applyBorder="1" applyAlignment="1">
      <alignment horizontal="center" vertical="top"/>
    </xf>
    <xf numFmtId="4" fontId="8" fillId="0" borderId="103" xfId="0" applyNumberFormat="1" applyFont="1" applyBorder="1" applyAlignment="1">
      <alignment horizontal="center" vertical="top"/>
    </xf>
    <xf numFmtId="4" fontId="8" fillId="0" borderId="0" xfId="0" applyNumberFormat="1" applyFont="1"/>
    <xf numFmtId="0" fontId="7" fillId="2" borderId="1" xfId="0" applyFont="1" applyFill="1" applyBorder="1" applyAlignment="1">
      <alignment horizontal="left"/>
    </xf>
    <xf numFmtId="0" fontId="7" fillId="2" borderId="90" xfId="0" applyFont="1" applyFill="1" applyBorder="1" applyAlignment="1">
      <alignment horizontal="left"/>
    </xf>
    <xf numFmtId="0" fontId="7" fillId="2" borderId="6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2" fontId="8" fillId="2" borderId="22" xfId="0" applyNumberFormat="1" applyFont="1" applyFill="1" applyBorder="1"/>
    <xf numFmtId="2" fontId="8" fillId="2" borderId="23" xfId="0" applyNumberFormat="1" applyFont="1" applyFill="1" applyBorder="1"/>
    <xf numFmtId="2" fontId="8" fillId="2" borderId="25" xfId="0" applyNumberFormat="1" applyFont="1" applyFill="1" applyBorder="1"/>
    <xf numFmtId="2" fontId="8" fillId="2" borderId="27" xfId="0" applyNumberFormat="1" applyFont="1" applyFill="1" applyBorder="1"/>
    <xf numFmtId="165" fontId="8" fillId="2" borderId="1" xfId="0" applyNumberFormat="1" applyFont="1" applyFill="1" applyBorder="1" applyAlignment="1">
      <alignment horizontal="left"/>
    </xf>
    <xf numFmtId="4" fontId="8" fillId="2" borderId="62" xfId="0" applyNumberFormat="1" applyFont="1" applyFill="1" applyBorder="1" applyAlignment="1">
      <alignment horizontal="right"/>
    </xf>
    <xf numFmtId="4" fontId="8" fillId="2" borderId="63" xfId="0" applyNumberFormat="1" applyFont="1" applyFill="1" applyBorder="1" applyAlignment="1">
      <alignment horizontal="right"/>
    </xf>
    <xf numFmtId="165" fontId="7" fillId="2" borderId="1" xfId="0" applyNumberFormat="1" applyFont="1" applyFill="1" applyBorder="1" applyAlignment="1">
      <alignment horizontal="left"/>
    </xf>
    <xf numFmtId="4" fontId="7" fillId="2" borderId="35" xfId="0" applyNumberFormat="1" applyFont="1" applyFill="1" applyBorder="1" applyAlignment="1">
      <alignment horizontal="right"/>
    </xf>
    <xf numFmtId="4" fontId="7" fillId="2" borderId="4" xfId="0" applyNumberFormat="1" applyFont="1" applyFill="1" applyBorder="1" applyAlignment="1">
      <alignment horizontal="right"/>
    </xf>
    <xf numFmtId="0" fontId="7" fillId="2" borderId="91" xfId="0" applyFont="1" applyFill="1" applyBorder="1" applyAlignment="1">
      <alignment horizontal="left"/>
    </xf>
    <xf numFmtId="0" fontId="8" fillId="2" borderId="92" xfId="0" applyFont="1" applyFill="1" applyBorder="1"/>
    <xf numFmtId="4" fontId="7" fillId="2" borderId="61" xfId="0" applyNumberFormat="1" applyFont="1" applyFill="1" applyBorder="1" applyAlignment="1">
      <alignment horizontal="right"/>
    </xf>
    <xf numFmtId="4" fontId="16" fillId="2" borderId="93" xfId="0" applyNumberFormat="1" applyFont="1" applyFill="1" applyBorder="1" applyAlignment="1">
      <alignment horizontal="right"/>
    </xf>
    <xf numFmtId="4" fontId="16" fillId="2" borderId="1" xfId="0" applyNumberFormat="1" applyFont="1" applyFill="1" applyBorder="1" applyAlignment="1">
      <alignment horizontal="right"/>
    </xf>
    <xf numFmtId="0" fontId="7" fillId="2" borderId="89" xfId="0" applyFont="1" applyFill="1" applyBorder="1"/>
    <xf numFmtId="165" fontId="7" fillId="2" borderId="81" xfId="0" applyNumberFormat="1" applyFont="1" applyFill="1" applyBorder="1" applyAlignment="1">
      <alignment horizontal="left"/>
    </xf>
    <xf numFmtId="2" fontId="8" fillId="2" borderId="38" xfId="0" applyNumberFormat="1" applyFont="1" applyFill="1" applyBorder="1"/>
    <xf numFmtId="4" fontId="8" fillId="2" borderId="94" xfId="0" applyNumberFormat="1" applyFont="1" applyFill="1" applyBorder="1" applyAlignment="1">
      <alignment horizontal="right"/>
    </xf>
    <xf numFmtId="4" fontId="8" fillId="2" borderId="95" xfId="0" applyNumberFormat="1" applyFont="1" applyFill="1" applyBorder="1" applyAlignment="1">
      <alignment horizontal="right"/>
    </xf>
    <xf numFmtId="0" fontId="8" fillId="0" borderId="0" xfId="0" applyFont="1" applyAlignment="1">
      <alignment horizontal="left"/>
    </xf>
    <xf numFmtId="2" fontId="8" fillId="2" borderId="64" xfId="0" applyNumberFormat="1" applyFont="1" applyFill="1" applyBorder="1"/>
    <xf numFmtId="4" fontId="8" fillId="2" borderId="96" xfId="0" applyNumberFormat="1" applyFont="1" applyFill="1" applyBorder="1" applyAlignment="1">
      <alignment horizontal="right"/>
    </xf>
    <xf numFmtId="4" fontId="8" fillId="2" borderId="97" xfId="0" applyNumberFormat="1" applyFont="1" applyFill="1" applyBorder="1" applyAlignment="1">
      <alignment horizontal="right"/>
    </xf>
    <xf numFmtId="0" fontId="8" fillId="0" borderId="0" xfId="0" applyFont="1" applyAlignment="1">
      <alignment horizontal="left" wrapText="1"/>
    </xf>
    <xf numFmtId="4" fontId="8" fillId="2" borderId="98" xfId="0" applyNumberFormat="1" applyFont="1" applyFill="1" applyBorder="1" applyAlignment="1">
      <alignment horizontal="right"/>
    </xf>
    <xf numFmtId="4" fontId="8" fillId="0" borderId="99" xfId="0" applyNumberFormat="1" applyFont="1" applyBorder="1" applyAlignment="1">
      <alignment horizontal="right"/>
    </xf>
    <xf numFmtId="4" fontId="8" fillId="0" borderId="100" xfId="0" applyNumberFormat="1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7" fillId="0" borderId="33" xfId="0" applyFont="1" applyBorder="1"/>
    <xf numFmtId="4" fontId="7" fillId="0" borderId="3" xfId="0" applyNumberFormat="1" applyFont="1" applyBorder="1" applyAlignment="1">
      <alignment horizontal="right"/>
    </xf>
    <xf numFmtId="0" fontId="7" fillId="2" borderId="60" xfId="0" applyFont="1" applyFill="1" applyBorder="1" applyAlignment="1">
      <alignment horizontal="left"/>
    </xf>
    <xf numFmtId="0" fontId="7" fillId="2" borderId="80" xfId="0" applyFont="1" applyFill="1" applyBorder="1"/>
    <xf numFmtId="0" fontId="5" fillId="0" borderId="7" xfId="0" applyFont="1" applyBorder="1"/>
    <xf numFmtId="0" fontId="18" fillId="0" borderId="0" xfId="0" applyFont="1"/>
    <xf numFmtId="0" fontId="7" fillId="0" borderId="0" xfId="0" applyFont="1"/>
    <xf numFmtId="0" fontId="8" fillId="2" borderId="60" xfId="0" applyFont="1" applyFill="1" applyBorder="1"/>
    <xf numFmtId="0" fontId="8" fillId="2" borderId="80" xfId="0" applyFont="1" applyFill="1" applyBorder="1"/>
    <xf numFmtId="0" fontId="7" fillId="0" borderId="3" xfId="0" applyFont="1" applyBorder="1" applyAlignment="1">
      <alignment horizontal="center"/>
    </xf>
    <xf numFmtId="0" fontId="7" fillId="0" borderId="35" xfId="0" quotePrefix="1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7" fillId="3" borderId="1" xfId="0" applyFont="1" applyFill="1" applyBorder="1"/>
    <xf numFmtId="4" fontId="8" fillId="0" borderId="20" xfId="0" applyNumberFormat="1" applyFont="1" applyBorder="1"/>
    <xf numFmtId="4" fontId="8" fillId="0" borderId="26" xfId="0" applyNumberFormat="1" applyFont="1" applyBorder="1"/>
    <xf numFmtId="4" fontId="8" fillId="0" borderId="40" xfId="0" applyNumberFormat="1" applyFont="1" applyBorder="1"/>
    <xf numFmtId="4" fontId="8" fillId="0" borderId="46" xfId="0" applyNumberFormat="1" applyFont="1" applyBorder="1"/>
    <xf numFmtId="0" fontId="15" fillId="2" borderId="54" xfId="0" applyFont="1" applyFill="1" applyBorder="1" applyAlignment="1">
      <alignment horizontal="left"/>
    </xf>
    <xf numFmtId="0" fontId="8" fillId="2" borderId="54" xfId="0" applyFont="1" applyFill="1" applyBorder="1" applyAlignment="1">
      <alignment horizontal="left"/>
    </xf>
    <xf numFmtId="4" fontId="8" fillId="0" borderId="30" xfId="0" applyNumberFormat="1" applyFont="1" applyBorder="1"/>
    <xf numFmtId="0" fontId="7" fillId="2" borderId="81" xfId="0" applyFont="1" applyFill="1" applyBorder="1" applyAlignment="1">
      <alignment horizontal="left"/>
    </xf>
    <xf numFmtId="4" fontId="7" fillId="0" borderId="3" xfId="0" applyNumberFormat="1" applyFont="1" applyBorder="1"/>
    <xf numFmtId="4" fontId="7" fillId="0" borderId="35" xfId="0" applyNumberFormat="1" applyFont="1" applyBorder="1"/>
    <xf numFmtId="0" fontId="8" fillId="2" borderId="54" xfId="0" applyFont="1" applyFill="1" applyBorder="1"/>
    <xf numFmtId="0" fontId="19" fillId="0" borderId="39" xfId="0" applyFont="1" applyBorder="1"/>
    <xf numFmtId="4" fontId="8" fillId="0" borderId="45" xfId="0" applyNumberFormat="1" applyFont="1" applyBorder="1"/>
    <xf numFmtId="0" fontId="8" fillId="0" borderId="39" xfId="0" applyFont="1" applyBorder="1" applyAlignment="1">
      <alignment horizontal="left"/>
    </xf>
    <xf numFmtId="4" fontId="7" fillId="0" borderId="26" xfId="0" applyNumberFormat="1" applyFont="1" applyBorder="1"/>
    <xf numFmtId="0" fontId="8" fillId="2" borderId="54" xfId="0" applyFont="1" applyFill="1" applyBorder="1" applyAlignment="1">
      <alignment horizontal="left" vertical="center"/>
    </xf>
    <xf numFmtId="4" fontId="8" fillId="0" borderId="44" xfId="0" applyNumberFormat="1" applyFont="1" applyBorder="1"/>
    <xf numFmtId="0" fontId="7" fillId="2" borderId="54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right"/>
    </xf>
    <xf numFmtId="0" fontId="7" fillId="2" borderId="54" xfId="0" applyFont="1" applyFill="1" applyBorder="1" applyAlignment="1">
      <alignment horizontal="left" vertical="center"/>
    </xf>
    <xf numFmtId="4" fontId="7" fillId="0" borderId="39" xfId="0" applyNumberFormat="1" applyFont="1" applyBorder="1"/>
    <xf numFmtId="4" fontId="7" fillId="0" borderId="0" xfId="0" applyNumberFormat="1" applyFont="1"/>
    <xf numFmtId="4" fontId="7" fillId="0" borderId="45" xfId="0" applyNumberFormat="1" applyFont="1" applyBorder="1"/>
    <xf numFmtId="4" fontId="7" fillId="0" borderId="44" xfId="0" applyNumberFormat="1" applyFont="1" applyBorder="1"/>
    <xf numFmtId="4" fontId="7" fillId="0" borderId="40" xfId="0" applyNumberFormat="1" applyFont="1" applyBorder="1"/>
    <xf numFmtId="4" fontId="7" fillId="0" borderId="46" xfId="0" applyNumberFormat="1" applyFont="1" applyBorder="1"/>
    <xf numFmtId="0" fontId="7" fillId="3" borderId="1" xfId="0" applyFont="1" applyFill="1" applyBorder="1" applyAlignment="1">
      <alignment horizontal="left"/>
    </xf>
    <xf numFmtId="0" fontId="7" fillId="3" borderId="82" xfId="0" applyFont="1" applyFill="1" applyBorder="1" applyAlignment="1">
      <alignment horizontal="right"/>
    </xf>
    <xf numFmtId="0" fontId="7" fillId="2" borderId="83" xfId="0" applyFont="1" applyFill="1" applyBorder="1" applyAlignment="1">
      <alignment horizontal="left"/>
    </xf>
    <xf numFmtId="164" fontId="7" fillId="0" borderId="3" xfId="0" applyNumberFormat="1" applyFont="1" applyBorder="1"/>
    <xf numFmtId="164" fontId="7" fillId="0" borderId="84" xfId="0" applyNumberFormat="1" applyFont="1" applyBorder="1"/>
    <xf numFmtId="4" fontId="7" fillId="0" borderId="84" xfId="0" applyNumberFormat="1" applyFont="1" applyBorder="1"/>
    <xf numFmtId="4" fontId="7" fillId="0" borderId="85" xfId="0" applyNumberFormat="1" applyFont="1" applyBorder="1"/>
    <xf numFmtId="0" fontId="7" fillId="2" borderId="54" xfId="0" applyFont="1" applyFill="1" applyBorder="1"/>
    <xf numFmtId="0" fontId="8" fillId="2" borderId="86" xfId="0" applyFont="1" applyFill="1" applyBorder="1"/>
    <xf numFmtId="39" fontId="7" fillId="0" borderId="87" xfId="0" applyNumberFormat="1" applyFont="1" applyBorder="1"/>
    <xf numFmtId="4" fontId="7" fillId="0" borderId="0" xfId="0" applyNumberFormat="1" applyFont="1" applyAlignment="1">
      <alignment horizontal="right"/>
    </xf>
    <xf numFmtId="164" fontId="8" fillId="0" borderId="0" xfId="0" applyNumberFormat="1" applyFont="1"/>
    <xf numFmtId="4" fontId="20" fillId="0" borderId="0" xfId="0" applyNumberFormat="1" applyFont="1" applyAlignment="1">
      <alignment horizontal="right"/>
    </xf>
    <xf numFmtId="4" fontId="20" fillId="0" borderId="0" xfId="0" applyNumberFormat="1" applyFont="1" applyAlignment="1"/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" fillId="0" borderId="0" xfId="0" applyFont="1" applyAlignment="1">
      <alignment horizontal="left"/>
    </xf>
    <xf numFmtId="0" fontId="21" fillId="0" borderId="0" xfId="0" applyFont="1"/>
    <xf numFmtId="2" fontId="7" fillId="0" borderId="36" xfId="0" applyNumberFormat="1" applyFont="1" applyBorder="1"/>
    <xf numFmtId="4" fontId="7" fillId="0" borderId="65" xfId="0" applyNumberFormat="1" applyFont="1" applyBorder="1" applyAlignment="1">
      <alignment horizontal="center"/>
    </xf>
    <xf numFmtId="4" fontId="7" fillId="0" borderId="66" xfId="0" applyNumberFormat="1" applyFont="1" applyBorder="1" applyAlignment="1">
      <alignment horizontal="center"/>
    </xf>
    <xf numFmtId="4" fontId="7" fillId="0" borderId="65" xfId="0" quotePrefix="1" applyNumberFormat="1" applyFont="1" applyBorder="1" applyAlignment="1">
      <alignment horizontal="center"/>
    </xf>
    <xf numFmtId="4" fontId="7" fillId="0" borderId="67" xfId="0" applyNumberFormat="1" applyFont="1" applyBorder="1" applyAlignment="1">
      <alignment horizontal="center"/>
    </xf>
    <xf numFmtId="0" fontId="7" fillId="0" borderId="65" xfId="0" quotePrefix="1" applyFont="1" applyBorder="1" applyAlignment="1">
      <alignment horizontal="center"/>
    </xf>
    <xf numFmtId="4" fontId="7" fillId="0" borderId="67" xfId="0" quotePrefix="1" applyNumberFormat="1" applyFont="1" applyBorder="1" applyAlignment="1">
      <alignment horizontal="center"/>
    </xf>
    <xf numFmtId="0" fontId="4" fillId="0" borderId="65" xfId="0" applyFont="1" applyBorder="1"/>
    <xf numFmtId="0" fontId="4" fillId="0" borderId="66" xfId="0" applyFont="1" applyBorder="1"/>
    <xf numFmtId="0" fontId="4" fillId="0" borderId="68" xfId="0" applyFont="1" applyBorder="1"/>
    <xf numFmtId="4" fontId="7" fillId="0" borderId="0" xfId="0" applyNumberFormat="1" applyFont="1" applyAlignment="1">
      <alignment horizontal="center"/>
    </xf>
    <xf numFmtId="2" fontId="7" fillId="0" borderId="7" xfId="0" applyNumberFormat="1" applyFont="1" applyBorder="1"/>
    <xf numFmtId="166" fontId="7" fillId="2" borderId="32" xfId="0" applyNumberFormat="1" applyFont="1" applyFill="1" applyBorder="1" applyAlignment="1">
      <alignment horizontal="center" vertical="center"/>
    </xf>
    <xf numFmtId="166" fontId="7" fillId="2" borderId="37" xfId="0" applyNumberFormat="1" applyFont="1" applyFill="1" applyBorder="1" applyAlignment="1">
      <alignment horizontal="center" vertical="center"/>
    </xf>
    <xf numFmtId="4" fontId="7" fillId="2" borderId="69" xfId="0" applyNumberFormat="1" applyFont="1" applyFill="1" applyBorder="1" applyAlignment="1">
      <alignment horizontal="center" vertical="center"/>
    </xf>
    <xf numFmtId="166" fontId="7" fillId="2" borderId="70" xfId="0" applyNumberFormat="1" applyFont="1" applyFill="1" applyBorder="1" applyAlignment="1">
      <alignment horizontal="center" vertical="center"/>
    </xf>
    <xf numFmtId="4" fontId="7" fillId="2" borderId="20" xfId="0" applyNumberFormat="1" applyFont="1" applyFill="1" applyBorder="1" applyAlignment="1">
      <alignment horizontal="center" vertical="center"/>
    </xf>
    <xf numFmtId="4" fontId="7" fillId="2" borderId="5" xfId="0" applyNumberFormat="1" applyFont="1" applyFill="1" applyBorder="1" applyAlignment="1">
      <alignment horizontal="center" vertical="center"/>
    </xf>
    <xf numFmtId="4" fontId="7" fillId="2" borderId="0" xfId="0" applyNumberFormat="1" applyFont="1" applyFill="1" applyAlignment="1">
      <alignment horizontal="center" vertical="center"/>
    </xf>
    <xf numFmtId="2" fontId="7" fillId="0" borderId="71" xfId="0" applyNumberFormat="1" applyFont="1" applyBorder="1"/>
    <xf numFmtId="0" fontId="4" fillId="0" borderId="72" xfId="0" applyFont="1" applyBorder="1"/>
    <xf numFmtId="0" fontId="4" fillId="0" borderId="73" xfId="0" applyFont="1" applyBorder="1"/>
    <xf numFmtId="0" fontId="4" fillId="0" borderId="42" xfId="0" applyFont="1" applyBorder="1"/>
    <xf numFmtId="0" fontId="4" fillId="0" borderId="31" xfId="0" applyFont="1" applyBorder="1"/>
    <xf numFmtId="4" fontId="7" fillId="0" borderId="7" xfId="0" applyNumberFormat="1" applyFont="1" applyBorder="1"/>
    <xf numFmtId="4" fontId="8" fillId="0" borderId="0" xfId="0" applyNumberFormat="1" applyFont="1" applyAlignment="1">
      <alignment horizontal="right"/>
    </xf>
    <xf numFmtId="4" fontId="8" fillId="0" borderId="74" xfId="0" applyNumberFormat="1" applyFont="1" applyBorder="1" applyAlignment="1">
      <alignment horizontal="right"/>
    </xf>
    <xf numFmtId="4" fontId="8" fillId="0" borderId="7" xfId="0" applyNumberFormat="1" applyFont="1" applyBorder="1" applyAlignment="1">
      <alignment horizontal="right"/>
    </xf>
    <xf numFmtId="4" fontId="8" fillId="0" borderId="0" xfId="0" applyNumberFormat="1" applyFont="1" applyAlignment="1">
      <alignment horizontal="left"/>
    </xf>
    <xf numFmtId="4" fontId="8" fillId="0" borderId="75" xfId="0" applyNumberFormat="1" applyFont="1" applyBorder="1" applyAlignment="1">
      <alignment horizontal="right"/>
    </xf>
    <xf numFmtId="4" fontId="7" fillId="0" borderId="9" xfId="0" applyNumberFormat="1" applyFont="1" applyBorder="1"/>
    <xf numFmtId="4" fontId="7" fillId="2" borderId="76" xfId="0" applyNumberFormat="1" applyFont="1" applyFill="1" applyBorder="1" applyAlignment="1">
      <alignment horizontal="right"/>
    </xf>
    <xf numFmtId="4" fontId="7" fillId="2" borderId="77" xfId="0" applyNumberFormat="1" applyFont="1" applyFill="1" applyBorder="1" applyAlignment="1">
      <alignment horizontal="right"/>
    </xf>
    <xf numFmtId="4" fontId="7" fillId="0" borderId="78" xfId="0" applyNumberFormat="1" applyFont="1" applyBorder="1" applyAlignment="1">
      <alignment horizontal="right"/>
    </xf>
    <xf numFmtId="4" fontId="7" fillId="0" borderId="79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0" fontId="8" fillId="2" borderId="60" xfId="0" applyFont="1" applyFill="1" applyBorder="1" applyAlignment="1">
      <alignment horizontal="center"/>
    </xf>
    <xf numFmtId="0" fontId="6" fillId="2" borderId="61" xfId="0" applyFont="1" applyFill="1" applyBorder="1" applyAlignment="1">
      <alignment horizontal="center"/>
    </xf>
    <xf numFmtId="4" fontId="8" fillId="2" borderId="22" xfId="0" applyNumberFormat="1" applyFont="1" applyFill="1" applyBorder="1" applyAlignment="1">
      <alignment horizontal="center"/>
    </xf>
    <xf numFmtId="4" fontId="8" fillId="2" borderId="23" xfId="0" applyNumberFormat="1" applyFont="1" applyFill="1" applyBorder="1" applyAlignment="1">
      <alignment horizontal="center"/>
    </xf>
    <xf numFmtId="4" fontId="8" fillId="2" borderId="62" xfId="0" applyNumberFormat="1" applyFont="1" applyFill="1" applyBorder="1"/>
    <xf numFmtId="4" fontId="8" fillId="2" borderId="63" xfId="0" applyNumberFormat="1" applyFont="1" applyFill="1" applyBorder="1"/>
    <xf numFmtId="4" fontId="7" fillId="2" borderId="61" xfId="0" applyNumberFormat="1" applyFont="1" applyFill="1" applyBorder="1"/>
    <xf numFmtId="4" fontId="7" fillId="2" borderId="18" xfId="0" applyNumberFormat="1" applyFont="1" applyFill="1" applyBorder="1"/>
    <xf numFmtId="4" fontId="7" fillId="2" borderId="4" xfId="0" applyNumberFormat="1" applyFont="1" applyFill="1" applyBorder="1"/>
    <xf numFmtId="4" fontId="7" fillId="2" borderId="38" xfId="0" applyNumberFormat="1" applyFont="1" applyFill="1" applyBorder="1"/>
    <xf numFmtId="4" fontId="7" fillId="2" borderId="23" xfId="0" applyNumberFormat="1" applyFont="1" applyFill="1" applyBorder="1"/>
    <xf numFmtId="4" fontId="8" fillId="2" borderId="27" xfId="0" applyNumberFormat="1" applyFont="1" applyFill="1" applyBorder="1"/>
    <xf numFmtId="4" fontId="7" fillId="2" borderId="27" xfId="0" applyNumberFormat="1" applyFont="1" applyFill="1" applyBorder="1"/>
    <xf numFmtId="4" fontId="8" fillId="0" borderId="10" xfId="0" applyNumberFormat="1" applyFont="1" applyBorder="1"/>
    <xf numFmtId="4" fontId="7" fillId="2" borderId="25" xfId="0" applyNumberFormat="1" applyFont="1" applyFill="1" applyBorder="1"/>
    <xf numFmtId="0" fontId="8" fillId="0" borderId="9" xfId="0" applyFont="1" applyBorder="1" applyAlignment="1">
      <alignment horizontal="left"/>
    </xf>
    <xf numFmtId="0" fontId="22" fillId="0" borderId="0" xfId="0" applyFont="1"/>
    <xf numFmtId="9" fontId="5" fillId="0" borderId="0" xfId="0" applyNumberFormat="1" applyFont="1"/>
    <xf numFmtId="37" fontId="23" fillId="0" borderId="2" xfId="0" applyNumberFormat="1" applyFont="1" applyBorder="1" applyAlignment="1">
      <alignment horizontal="center"/>
    </xf>
    <xf numFmtId="0" fontId="13" fillId="0" borderId="47" xfId="0" applyFont="1" applyBorder="1" applyAlignment="1">
      <alignment horizontal="right"/>
    </xf>
    <xf numFmtId="0" fontId="13" fillId="0" borderId="48" xfId="0" applyFont="1" applyBorder="1" applyAlignment="1">
      <alignment horizontal="right"/>
    </xf>
    <xf numFmtId="165" fontId="8" fillId="2" borderId="49" xfId="0" applyNumberFormat="1" applyFont="1" applyFill="1" applyBorder="1" applyAlignment="1">
      <alignment horizontal="left"/>
    </xf>
    <xf numFmtId="0" fontId="4" fillId="0" borderId="50" xfId="0" applyFont="1" applyBorder="1"/>
    <xf numFmtId="164" fontId="8" fillId="0" borderId="51" xfId="0" applyNumberFormat="1" applyFont="1" applyBorder="1" applyAlignment="1">
      <alignment horizontal="right"/>
    </xf>
    <xf numFmtId="164" fontId="8" fillId="0" borderId="52" xfId="0" applyNumberFormat="1" applyFont="1" applyBorder="1" applyAlignment="1">
      <alignment horizontal="right"/>
    </xf>
    <xf numFmtId="165" fontId="8" fillId="2" borderId="14" xfId="0" applyNumberFormat="1" applyFont="1" applyFill="1" applyBorder="1" applyAlignment="1">
      <alignment horizontal="left"/>
    </xf>
    <xf numFmtId="0" fontId="4" fillId="0" borderId="53" xfId="0" applyFont="1" applyBorder="1"/>
    <xf numFmtId="49" fontId="8" fillId="2" borderId="14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164" fontId="9" fillId="0" borderId="55" xfId="0" applyNumberFormat="1" applyFont="1" applyBorder="1" applyAlignment="1">
      <alignment horizontal="right"/>
    </xf>
    <xf numFmtId="164" fontId="9" fillId="0" borderId="52" xfId="0" applyNumberFormat="1" applyFont="1" applyBorder="1" applyAlignment="1">
      <alignment horizontal="right"/>
    </xf>
    <xf numFmtId="165" fontId="7" fillId="2" borderId="56" xfId="0" applyNumberFormat="1" applyFont="1" applyFill="1" applyBorder="1" applyAlignment="1">
      <alignment horizontal="center"/>
    </xf>
    <xf numFmtId="0" fontId="4" fillId="0" borderId="57" xfId="0" applyFont="1" applyBorder="1"/>
    <xf numFmtId="164" fontId="7" fillId="0" borderId="47" xfId="0" applyNumberFormat="1" applyFont="1" applyBorder="1" applyAlignment="1">
      <alignment horizontal="right"/>
    </xf>
    <xf numFmtId="164" fontId="7" fillId="0" borderId="58" xfId="0" applyNumberFormat="1" applyFont="1" applyBorder="1" applyAlignment="1">
      <alignment horizontal="right"/>
    </xf>
    <xf numFmtId="9" fontId="12" fillId="0" borderId="0" xfId="0" applyNumberFormat="1" applyFont="1"/>
    <xf numFmtId="37" fontId="1" fillId="0" borderId="0" xfId="0" applyNumberFormat="1" applyFont="1"/>
    <xf numFmtId="37" fontId="1" fillId="0" borderId="59" xfId="0" applyNumberFormat="1" applyFont="1" applyBorder="1"/>
    <xf numFmtId="0" fontId="7" fillId="0" borderId="2" xfId="0" applyFont="1" applyBorder="1" applyAlignment="1">
      <alignment horizontal="left" wrapText="1"/>
    </xf>
    <xf numFmtId="0" fontId="7" fillId="0" borderId="4" xfId="0" applyFont="1" applyBorder="1" applyAlignment="1">
      <alignment horizontal="center"/>
    </xf>
    <xf numFmtId="165" fontId="8" fillId="0" borderId="0" xfId="0" applyNumberFormat="1" applyFont="1" applyAlignment="1">
      <alignment horizontal="left"/>
    </xf>
    <xf numFmtId="4" fontId="8" fillId="0" borderId="26" xfId="0" applyNumberFormat="1" applyFont="1" applyBorder="1" applyAlignment="1">
      <alignment horizontal="center"/>
    </xf>
    <xf numFmtId="4" fontId="8" fillId="0" borderId="46" xfId="0" applyNumberFormat="1" applyFont="1" applyBorder="1" applyAlignment="1">
      <alignment horizontal="center"/>
    </xf>
    <xf numFmtId="4" fontId="8" fillId="0" borderId="10" xfId="0" applyNumberFormat="1" applyFont="1" applyBorder="1" applyAlignment="1">
      <alignment horizontal="center"/>
    </xf>
    <xf numFmtId="0" fontId="24" fillId="0" borderId="0" xfId="0" applyFont="1"/>
    <xf numFmtId="164" fontId="12" fillId="0" borderId="0" xfId="0" applyNumberFormat="1" applyFont="1"/>
    <xf numFmtId="49" fontId="8" fillId="0" borderId="0" xfId="0" applyNumberFormat="1" applyFont="1" applyAlignment="1">
      <alignment horizontal="left"/>
    </xf>
    <xf numFmtId="4" fontId="8" fillId="0" borderId="42" xfId="0" applyNumberFormat="1" applyFont="1" applyBorder="1" applyAlignment="1">
      <alignment horizontal="center"/>
    </xf>
    <xf numFmtId="4" fontId="8" fillId="0" borderId="31" xfId="0" applyNumberFormat="1" applyFont="1" applyBorder="1" applyAlignment="1">
      <alignment horizontal="center"/>
    </xf>
    <xf numFmtId="0" fontId="7" fillId="0" borderId="2" xfId="0" applyFont="1" applyBorder="1"/>
    <xf numFmtId="4" fontId="7" fillId="0" borderId="35" xfId="0" applyNumberFormat="1" applyFont="1" applyBorder="1" applyAlignment="1">
      <alignment horizontal="center"/>
    </xf>
    <xf numFmtId="43" fontId="7" fillId="0" borderId="35" xfId="0" applyNumberFormat="1" applyFont="1" applyBorder="1" applyAlignment="1">
      <alignment horizontal="center"/>
    </xf>
    <xf numFmtId="43" fontId="7" fillId="0" borderId="3" xfId="0" applyNumberFormat="1" applyFont="1" applyBorder="1" applyAlignment="1">
      <alignment horizontal="center"/>
    </xf>
    <xf numFmtId="43" fontId="7" fillId="0" borderId="18" xfId="0" applyNumberFormat="1" applyFont="1" applyBorder="1" applyAlignment="1">
      <alignment horizontal="center"/>
    </xf>
    <xf numFmtId="43" fontId="7" fillId="0" borderId="4" xfId="0" applyNumberFormat="1" applyFont="1" applyBorder="1" applyAlignment="1">
      <alignment horizontal="center"/>
    </xf>
    <xf numFmtId="43" fontId="12" fillId="0" borderId="0" xfId="0" applyNumberFormat="1" applyFont="1"/>
    <xf numFmtId="0" fontId="25" fillId="0" borderId="0" xfId="0" applyFont="1" applyAlignment="1">
      <alignment horizontal="left" vertical="center"/>
    </xf>
    <xf numFmtId="0" fontId="8" fillId="0" borderId="33" xfId="0" applyFont="1" applyBorder="1"/>
    <xf numFmtId="0" fontId="7" fillId="0" borderId="39" xfId="0" applyFont="1" applyBorder="1" applyAlignment="1">
      <alignment horizontal="left"/>
    </xf>
    <xf numFmtId="4" fontId="7" fillId="0" borderId="40" xfId="0" applyNumberFormat="1" applyFont="1" applyBorder="1" applyAlignment="1">
      <alignment horizontal="right"/>
    </xf>
    <xf numFmtId="4" fontId="7" fillId="0" borderId="39" xfId="0" applyNumberFormat="1" applyFont="1" applyBorder="1" applyAlignment="1">
      <alignment horizontal="right"/>
    </xf>
    <xf numFmtId="4" fontId="8" fillId="0" borderId="44" xfId="0" applyNumberFormat="1" applyFont="1" applyBorder="1" applyAlignment="1">
      <alignment horizontal="right"/>
    </xf>
    <xf numFmtId="4" fontId="8" fillId="0" borderId="45" xfId="0" applyNumberFormat="1" applyFont="1" applyBorder="1" applyAlignment="1">
      <alignment horizontal="right"/>
    </xf>
    <xf numFmtId="4" fontId="7" fillId="0" borderId="26" xfId="0" applyNumberFormat="1" applyFont="1" applyBorder="1" applyAlignment="1">
      <alignment horizontal="right"/>
    </xf>
    <xf numFmtId="0" fontId="8" fillId="0" borderId="39" xfId="0" applyFont="1" applyBorder="1" applyAlignment="1">
      <alignment horizontal="left" vertical="top" wrapText="1"/>
    </xf>
    <xf numFmtId="0" fontId="7" fillId="0" borderId="33" xfId="0" applyFont="1" applyBorder="1" applyAlignment="1">
      <alignment horizontal="left"/>
    </xf>
    <xf numFmtId="4" fontId="16" fillId="0" borderId="0" xfId="0" applyNumberFormat="1" applyFont="1"/>
    <xf numFmtId="2" fontId="1" fillId="0" borderId="0" xfId="0" applyNumberFormat="1" applyFont="1"/>
    <xf numFmtId="2" fontId="8" fillId="0" borderId="0" xfId="0" applyNumberFormat="1" applyFont="1" applyAlignment="1">
      <alignment horizontal="right"/>
    </xf>
    <xf numFmtId="2" fontId="7" fillId="0" borderId="32" xfId="0" applyNumberFormat="1" applyFont="1" applyBorder="1"/>
    <xf numFmtId="4" fontId="7" fillId="0" borderId="3" xfId="0" quotePrefix="1" applyNumberFormat="1" applyFont="1" applyBorder="1" applyAlignment="1">
      <alignment horizontal="center"/>
    </xf>
    <xf numFmtId="2" fontId="7" fillId="0" borderId="34" xfId="0" applyNumberFormat="1" applyFont="1" applyBorder="1"/>
    <xf numFmtId="4" fontId="7" fillId="0" borderId="3" xfId="0" applyNumberFormat="1" applyFont="1" applyBorder="1" applyAlignment="1">
      <alignment horizontal="center"/>
    </xf>
    <xf numFmtId="4" fontId="7" fillId="0" borderId="19" xfId="0" applyNumberFormat="1" applyFont="1" applyBorder="1" applyAlignment="1">
      <alignment horizontal="center"/>
    </xf>
    <xf numFmtId="4" fontId="7" fillId="0" borderId="36" xfId="0" applyNumberFormat="1" applyFont="1" applyBorder="1" applyAlignment="1">
      <alignment horizontal="center"/>
    </xf>
    <xf numFmtId="2" fontId="8" fillId="0" borderId="32" xfId="0" applyNumberFormat="1" applyFont="1" applyBorder="1" applyAlignment="1">
      <alignment horizontal="left"/>
    </xf>
    <xf numFmtId="4" fontId="26" fillId="0" borderId="20" xfId="0" applyNumberFormat="1" applyFont="1" applyBorder="1"/>
    <xf numFmtId="4" fontId="26" fillId="0" borderId="37" xfId="0" applyNumberFormat="1" applyFont="1" applyBorder="1"/>
    <xf numFmtId="4" fontId="26" fillId="0" borderId="38" xfId="0" applyNumberFormat="1" applyFont="1" applyBorder="1"/>
    <xf numFmtId="2" fontId="8" fillId="0" borderId="39" xfId="0" applyNumberFormat="1" applyFont="1" applyBorder="1" applyAlignment="1">
      <alignment horizontal="left"/>
    </xf>
    <xf numFmtId="2" fontId="8" fillId="0" borderId="34" xfId="0" applyNumberFormat="1" applyFont="1" applyBorder="1" applyAlignment="1">
      <alignment horizontal="left"/>
    </xf>
    <xf numFmtId="4" fontId="7" fillId="0" borderId="3" xfId="0" applyNumberFormat="1" applyFont="1" applyBorder="1" applyAlignment="1">
      <alignment horizontal="center"/>
    </xf>
    <xf numFmtId="4" fontId="7" fillId="0" borderId="35" xfId="0" quotePrefix="1" applyNumberFormat="1" applyFont="1" applyBorder="1" applyAlignment="1">
      <alignment horizontal="center"/>
    </xf>
    <xf numFmtId="4" fontId="8" fillId="0" borderId="37" xfId="0" applyNumberFormat="1" applyFont="1" applyBorder="1"/>
    <xf numFmtId="4" fontId="8" fillId="0" borderId="42" xfId="0" applyNumberFormat="1" applyFont="1" applyBorder="1"/>
    <xf numFmtId="4" fontId="6" fillId="0" borderId="3" xfId="0" applyNumberFormat="1" applyFont="1" applyBorder="1" applyAlignment="1">
      <alignment horizontal="center"/>
    </xf>
    <xf numFmtId="4" fontId="7" fillId="0" borderId="37" xfId="0" applyNumberFormat="1" applyFont="1" applyBorder="1" applyAlignment="1">
      <alignment horizontal="center"/>
    </xf>
    <xf numFmtId="4" fontId="7" fillId="0" borderId="26" xfId="0" applyNumberFormat="1" applyFont="1" applyBorder="1" applyAlignment="1">
      <alignment horizontal="center"/>
    </xf>
    <xf numFmtId="4" fontId="19" fillId="0" borderId="0" xfId="0" applyNumberFormat="1" applyFont="1"/>
    <xf numFmtId="2" fontId="8" fillId="0" borderId="0" xfId="0" applyNumberFormat="1" applyFont="1"/>
    <xf numFmtId="1" fontId="8" fillId="0" borderId="0" xfId="0" applyNumberFormat="1" applyFont="1"/>
    <xf numFmtId="0" fontId="7" fillId="0" borderId="3" xfId="0" quotePrefix="1" applyFont="1" applyBorder="1" applyAlignment="1">
      <alignment horizontal="center"/>
    </xf>
    <xf numFmtId="4" fontId="8" fillId="0" borderId="5" xfId="0" applyNumberFormat="1" applyFont="1" applyBorder="1" applyAlignment="1">
      <alignment horizontal="right" vertical="center"/>
    </xf>
    <xf numFmtId="4" fontId="8" fillId="0" borderId="6" xfId="0" applyNumberFormat="1" applyFont="1" applyBorder="1"/>
    <xf numFmtId="4" fontId="5" fillId="0" borderId="7" xfId="0" applyNumberFormat="1" applyFont="1" applyBorder="1"/>
    <xf numFmtId="0" fontId="7" fillId="0" borderId="9" xfId="0" applyFont="1" applyBorder="1"/>
    <xf numFmtId="4" fontId="7" fillId="0" borderId="4" xfId="0" applyNumberFormat="1" applyFont="1" applyBorder="1" applyAlignment="1">
      <alignment horizontal="right" vertical="center"/>
    </xf>
    <xf numFmtId="0" fontId="8" fillId="0" borderId="2" xfId="0" applyFont="1" applyBorder="1"/>
    <xf numFmtId="164" fontId="8" fillId="0" borderId="4" xfId="0" applyNumberFormat="1" applyFont="1" applyBorder="1" applyAlignment="1">
      <alignment horizontal="right" vertical="center"/>
    </xf>
    <xf numFmtId="4" fontId="7" fillId="0" borderId="5" xfId="0" applyNumberFormat="1" applyFont="1" applyBorder="1" applyAlignment="1">
      <alignment vertical="center"/>
    </xf>
    <xf numFmtId="164" fontId="8" fillId="0" borderId="10" xfId="0" applyNumberFormat="1" applyFont="1" applyBorder="1" applyAlignment="1">
      <alignment horizontal="right" vertical="center"/>
    </xf>
    <xf numFmtId="164" fontId="8" fillId="0" borderId="10" xfId="0" applyNumberFormat="1" applyFont="1" applyBorder="1" applyAlignment="1">
      <alignment horizontal="center" vertical="center"/>
    </xf>
    <xf numFmtId="164" fontId="8" fillId="0" borderId="10" xfId="0" quotePrefix="1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right" vertical="center"/>
    </xf>
    <xf numFmtId="0" fontId="8" fillId="0" borderId="11" xfId="0" applyFont="1" applyBorder="1"/>
    <xf numFmtId="164" fontId="8" fillId="0" borderId="12" xfId="0" applyNumberFormat="1" applyFont="1" applyBorder="1" applyAlignment="1">
      <alignment horizontal="right" vertical="center"/>
    </xf>
    <xf numFmtId="0" fontId="8" fillId="0" borderId="9" xfId="0" applyFont="1" applyBorder="1"/>
    <xf numFmtId="164" fontId="8" fillId="0" borderId="13" xfId="0" applyNumberFormat="1" applyFont="1" applyBorder="1" applyAlignment="1">
      <alignment horizontal="right" vertical="center"/>
    </xf>
    <xf numFmtId="164" fontId="5" fillId="0" borderId="0" xfId="0" applyNumberFormat="1" applyFont="1"/>
    <xf numFmtId="0" fontId="27" fillId="0" borderId="0" xfId="0" applyFont="1" applyAlignment="1">
      <alignment vertical="center"/>
    </xf>
    <xf numFmtId="0" fontId="21" fillId="0" borderId="0" xfId="0" applyFont="1" applyAlignment="1"/>
    <xf numFmtId="0" fontId="2" fillId="2" borderId="1" xfId="0" applyFont="1" applyFill="1" applyBorder="1" applyAlignment="1">
      <alignment horizontal="left"/>
    </xf>
    <xf numFmtId="2" fontId="21" fillId="0" borderId="0" xfId="0" applyNumberFormat="1" applyFont="1" applyAlignment="1">
      <alignment horizontal="right"/>
    </xf>
    <xf numFmtId="0" fontId="28" fillId="0" borderId="0" xfId="0" applyFont="1" applyAlignment="1">
      <alignment horizontal="left"/>
    </xf>
    <xf numFmtId="164" fontId="1" fillId="0" borderId="0" xfId="0" applyNumberFormat="1" applyFont="1"/>
    <xf numFmtId="164" fontId="28" fillId="0" borderId="0" xfId="0" applyNumberFormat="1" applyFont="1"/>
    <xf numFmtId="0" fontId="1" fillId="0" borderId="0" xfId="0" applyFont="1" applyAlignment="1"/>
    <xf numFmtId="164" fontId="28" fillId="0" borderId="0" xfId="0" applyNumberFormat="1" applyFont="1" applyAlignment="1">
      <alignment horizontal="left"/>
    </xf>
    <xf numFmtId="0" fontId="28" fillId="3" borderId="1" xfId="0" applyFont="1" applyFill="1" applyBorder="1" applyAlignment="1">
      <alignment horizontal="left"/>
    </xf>
    <xf numFmtId="0" fontId="28" fillId="0" borderId="0" xfId="0" applyFont="1" applyAlignment="1">
      <alignment wrapText="1"/>
    </xf>
    <xf numFmtId="0" fontId="2" fillId="2" borderId="14" xfId="0" applyFont="1" applyFill="1" applyBorder="1" applyAlignment="1">
      <alignment horizontal="left"/>
    </xf>
    <xf numFmtId="0" fontId="30" fillId="0" borderId="15" xfId="0" applyFont="1" applyBorder="1"/>
    <xf numFmtId="0" fontId="30" fillId="0" borderId="16" xfId="0" applyFont="1" applyBorder="1"/>
    <xf numFmtId="0" fontId="2" fillId="2" borderId="17" xfId="0" applyFont="1" applyFill="1" applyBorder="1" applyAlignment="1">
      <alignment horizontal="left"/>
    </xf>
    <xf numFmtId="0" fontId="28" fillId="0" borderId="0" xfId="0" applyFont="1"/>
    <xf numFmtId="0" fontId="16" fillId="0" borderId="0" xfId="0" applyFont="1" applyAlignment="1"/>
    <xf numFmtId="0" fontId="31" fillId="0" borderId="0" xfId="0" applyFont="1" applyAlignment="1"/>
    <xf numFmtId="0" fontId="28" fillId="0" borderId="0" xfId="0" applyFont="1" applyAlignment="1"/>
    <xf numFmtId="0" fontId="22" fillId="0" borderId="0" xfId="0" applyFont="1" applyAlignment="1">
      <alignment horizontal="left" wrapText="1"/>
    </xf>
    <xf numFmtId="0" fontId="21" fillId="0" borderId="0" xfId="0" applyFont="1" applyAlignment="1">
      <alignment horizontal="right"/>
    </xf>
    <xf numFmtId="4" fontId="16" fillId="0" borderId="0" xfId="0" applyNumberFormat="1" applyFont="1" applyAlignment="1">
      <alignment horizontal="right"/>
    </xf>
    <xf numFmtId="0" fontId="31" fillId="0" borderId="0" xfId="0" applyFont="1"/>
    <xf numFmtId="4" fontId="31" fillId="0" borderId="0" xfId="0" applyNumberFormat="1" applyFont="1" applyAlignment="1">
      <alignment horizontal="right"/>
    </xf>
    <xf numFmtId="4" fontId="31" fillId="0" borderId="0" xfId="0" applyNumberFormat="1" applyFont="1"/>
    <xf numFmtId="164" fontId="28" fillId="0" borderId="0" xfId="0" applyNumberFormat="1" applyFont="1" applyAlignment="1">
      <alignment horizontal="right"/>
    </xf>
    <xf numFmtId="4" fontId="28" fillId="0" borderId="0" xfId="0" applyNumberFormat="1" applyFont="1" applyAlignment="1">
      <alignment horizontal="left"/>
    </xf>
    <xf numFmtId="43" fontId="21" fillId="0" borderId="0" xfId="0" applyNumberFormat="1" applyFont="1"/>
    <xf numFmtId="9" fontId="21" fillId="0" borderId="0" xfId="0" applyNumberFormat="1" applyFont="1"/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/>
    </xf>
    <xf numFmtId="9" fontId="22" fillId="0" borderId="0" xfId="0" applyNumberFormat="1" applyFont="1"/>
    <xf numFmtId="0" fontId="22" fillId="0" borderId="0" xfId="0" applyFont="1" applyAlignment="1"/>
    <xf numFmtId="4" fontId="1" fillId="0" borderId="0" xfId="0" applyNumberFormat="1" applyFont="1"/>
    <xf numFmtId="43" fontId="31" fillId="0" borderId="0" xfId="0" applyNumberFormat="1" applyFont="1"/>
    <xf numFmtId="0" fontId="28" fillId="0" borderId="0" xfId="0" applyFont="1" applyAlignment="1">
      <alignment vertical="center"/>
    </xf>
    <xf numFmtId="4" fontId="28" fillId="0" borderId="0" xfId="0" applyNumberFormat="1" applyFont="1"/>
    <xf numFmtId="43" fontId="28" fillId="0" borderId="0" xfId="0" applyNumberFormat="1" applyFont="1"/>
    <xf numFmtId="0" fontId="29" fillId="0" borderId="0" xfId="0" applyFont="1" applyAlignment="1">
      <alignment horizontal="left" vertical="center"/>
    </xf>
    <xf numFmtId="16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  <xf numFmtId="164" fontId="16" fillId="0" borderId="0" xfId="0" applyNumberFormat="1" applyFont="1"/>
    <xf numFmtId="37" fontId="31" fillId="0" borderId="0" xfId="0" applyNumberFormat="1" applyFont="1"/>
    <xf numFmtId="164" fontId="31" fillId="0" borderId="0" xfId="0" applyNumberFormat="1" applyFont="1"/>
    <xf numFmtId="165" fontId="31" fillId="2" borderId="1" xfId="0" applyNumberFormat="1" applyFont="1" applyFill="1" applyBorder="1" applyAlignment="1">
      <alignment horizontal="center"/>
    </xf>
    <xf numFmtId="37" fontId="28" fillId="0" borderId="0" xfId="0" applyNumberFormat="1" applyFont="1"/>
    <xf numFmtId="9" fontId="28" fillId="0" borderId="0" xfId="0" applyNumberFormat="1" applyFont="1"/>
    <xf numFmtId="0" fontId="27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4" fontId="28" fillId="2" borderId="1" xfId="0" applyNumberFormat="1" applyFont="1" applyFill="1" applyBorder="1"/>
    <xf numFmtId="2" fontId="21" fillId="0" borderId="0" xfId="0" applyNumberFormat="1" applyFont="1"/>
    <xf numFmtId="0" fontId="21" fillId="2" borderId="1" xfId="0" applyFont="1" applyFill="1" applyBorder="1" applyAlignment="1">
      <alignment horizontal="right"/>
    </xf>
    <xf numFmtId="2" fontId="28" fillId="0" borderId="0" xfId="0" applyNumberFormat="1" applyFont="1" applyAlignment="1">
      <alignment horizontal="left"/>
    </xf>
    <xf numFmtId="2" fontId="28" fillId="2" borderId="1" xfId="0" applyNumberFormat="1" applyFont="1" applyFill="1" applyBorder="1"/>
    <xf numFmtId="43" fontId="32" fillId="0" borderId="0" xfId="0" applyNumberFormat="1" applyFont="1"/>
    <xf numFmtId="2" fontId="31" fillId="0" borderId="0" xfId="0" applyNumberFormat="1" applyFont="1" applyAlignment="1">
      <alignment horizontal="left"/>
    </xf>
    <xf numFmtId="2" fontId="31" fillId="2" borderId="1" xfId="0" applyNumberFormat="1" applyFont="1" applyFill="1" applyBorder="1"/>
    <xf numFmtId="164" fontId="33" fillId="0" borderId="0" xfId="0" applyNumberFormat="1" applyFont="1"/>
    <xf numFmtId="0" fontId="2" fillId="2" borderId="1" xfId="0" applyFont="1" applyFill="1" applyBorder="1" applyAlignment="1"/>
    <xf numFmtId="0" fontId="2" fillId="2" borderId="1" xfId="0" applyFont="1" applyFill="1" applyBorder="1"/>
    <xf numFmtId="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1" fillId="3" borderId="1" xfId="0" applyFont="1" applyFill="1" applyBorder="1"/>
    <xf numFmtId="0" fontId="22" fillId="2" borderId="1" xfId="0" applyFont="1" applyFill="1" applyBorder="1" applyAlignment="1">
      <alignment vertical="center" wrapText="1"/>
    </xf>
    <xf numFmtId="0" fontId="31" fillId="3" borderId="88" xfId="0" applyFont="1" applyFill="1" applyBorder="1" applyAlignment="1">
      <alignment horizontal="left"/>
    </xf>
    <xf numFmtId="0" fontId="31" fillId="2" borderId="88" xfId="0" applyFont="1" applyFill="1" applyBorder="1" applyAlignment="1">
      <alignment horizontal="left"/>
    </xf>
    <xf numFmtId="0" fontId="28" fillId="2" borderId="1" xfId="0" applyFont="1" applyFill="1" applyBorder="1" applyAlignment="1">
      <alignment horizontal="left"/>
    </xf>
    <xf numFmtId="0" fontId="28" fillId="2" borderId="1" xfId="0" applyFont="1" applyFill="1" applyBorder="1"/>
    <xf numFmtId="0" fontId="2" fillId="0" borderId="0" xfId="0" applyFont="1" applyAlignment="1"/>
    <xf numFmtId="0" fontId="22" fillId="2" borderId="1" xfId="0" applyFont="1" applyFill="1" applyBorder="1" applyAlignment="1">
      <alignment horizontal="left"/>
    </xf>
    <xf numFmtId="0" fontId="34" fillId="2" borderId="1" xfId="0" applyFont="1" applyFill="1" applyBorder="1" applyAlignment="1">
      <alignment horizontal="right"/>
    </xf>
    <xf numFmtId="0" fontId="2" fillId="0" borderId="0" xfId="0" applyFont="1"/>
    <xf numFmtId="0" fontId="22" fillId="2" borderId="89" xfId="0" applyFont="1" applyFill="1" applyBorder="1" applyAlignment="1">
      <alignment horizontal="right"/>
    </xf>
    <xf numFmtId="0" fontId="31" fillId="2" borderId="1" xfId="0" applyFont="1" applyFill="1" applyBorder="1"/>
    <xf numFmtId="0" fontId="17" fillId="0" borderId="0" xfId="0" applyFont="1"/>
    <xf numFmtId="43" fontId="1" fillId="2" borderId="1" xfId="0" applyNumberFormat="1" applyFont="1" applyFill="1" applyBorder="1"/>
    <xf numFmtId="1" fontId="1" fillId="2" borderId="1" xfId="0" applyNumberFormat="1" applyFont="1" applyFill="1" applyBorder="1"/>
    <xf numFmtId="0" fontId="2" fillId="0" borderId="0" xfId="0" applyFont="1" applyAlignment="1">
      <alignment horizontal="center"/>
    </xf>
    <xf numFmtId="0" fontId="35" fillId="0" borderId="0" xfId="0" applyFont="1"/>
    <xf numFmtId="0" fontId="21" fillId="0" borderId="0" xfId="0" applyFont="1" applyAlignment="1">
      <alignment horizontal="center"/>
    </xf>
    <xf numFmtId="0" fontId="36" fillId="0" borderId="0" xfId="0" applyFont="1"/>
    <xf numFmtId="0" fontId="2" fillId="0" borderId="0" xfId="0" applyFont="1" applyAlignment="1">
      <alignment horizontal="left" vertical="center"/>
    </xf>
    <xf numFmtId="0" fontId="2" fillId="3" borderId="1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43" fontId="21" fillId="2" borderId="1" xfId="0" applyNumberFormat="1" applyFont="1" applyFill="1" applyBorder="1"/>
    <xf numFmtId="0" fontId="21" fillId="2" borderId="1" xfId="0" applyFont="1" applyFill="1" applyBorder="1"/>
    <xf numFmtId="0" fontId="21" fillId="2" borderId="1" xfId="0" applyFont="1" applyFill="1" applyBorder="1" applyAlignment="1">
      <alignment horizontal="left" vertical="top"/>
    </xf>
    <xf numFmtId="0" fontId="22" fillId="2" borderId="1" xfId="0" applyFont="1" applyFill="1" applyBorder="1"/>
    <xf numFmtId="0" fontId="31" fillId="2" borderId="1" xfId="0" quotePrefix="1" applyFont="1" applyFill="1" applyBorder="1" applyAlignment="1">
      <alignment horizontal="left"/>
    </xf>
    <xf numFmtId="43" fontId="31" fillId="2" borderId="1" xfId="0" applyNumberFormat="1" applyFont="1" applyFill="1" applyBorder="1"/>
    <xf numFmtId="43" fontId="28" fillId="2" borderId="1" xfId="0" applyNumberFormat="1" applyFont="1" applyFill="1" applyBorder="1"/>
    <xf numFmtId="0" fontId="2" fillId="2" borderId="14" xfId="0" applyFont="1" applyFill="1" applyBorder="1" applyAlignment="1">
      <alignment horizontal="left" vertical="top" wrapText="1"/>
    </xf>
    <xf numFmtId="43" fontId="22" fillId="2" borderId="1" xfId="0" applyNumberFormat="1" applyFont="1" applyFill="1" applyBorder="1" applyAlignment="1">
      <alignment horizontal="right"/>
    </xf>
    <xf numFmtId="164" fontId="28" fillId="2" borderId="1" xfId="0" applyNumberFormat="1" applyFont="1" applyFill="1" applyBorder="1"/>
    <xf numFmtId="168" fontId="28" fillId="2" borderId="1" xfId="0" applyNumberFormat="1" applyFont="1" applyFill="1" applyBorder="1"/>
    <xf numFmtId="43" fontId="31" fillId="2" borderId="1" xfId="0" applyNumberFormat="1" applyFont="1" applyFill="1" applyBorder="1" applyAlignment="1">
      <alignment horizontal="left"/>
    </xf>
    <xf numFmtId="164" fontId="31" fillId="2" borderId="1" xfId="0" applyNumberFormat="1" applyFont="1" applyFill="1" applyBorder="1"/>
    <xf numFmtId="168" fontId="31" fillId="2" borderId="1" xfId="0" applyNumberFormat="1" applyFont="1" applyFill="1" applyBorder="1"/>
    <xf numFmtId="0" fontId="36" fillId="0" borderId="0" xfId="0" applyFont="1" applyAlignment="1">
      <alignment horizontal="right"/>
    </xf>
    <xf numFmtId="164" fontId="31" fillId="2" borderId="1" xfId="0" applyNumberFormat="1" applyFont="1" applyFill="1" applyBorder="1" applyAlignment="1">
      <alignment horizontal="left"/>
    </xf>
    <xf numFmtId="0" fontId="31" fillId="2" borderId="1" xfId="0" applyFont="1" applyFill="1" applyBorder="1" applyAlignment="1">
      <alignment horizontal="left"/>
    </xf>
    <xf numFmtId="164" fontId="28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2"/>
  <sheetViews>
    <sheetView showGridLines="0" topLeftCell="A16" workbookViewId="0">
      <selection activeCell="A29" sqref="A29"/>
    </sheetView>
  </sheetViews>
  <sheetFormatPr defaultColWidth="12.6640625" defaultRowHeight="15" customHeight="1"/>
  <cols>
    <col min="1" max="1" width="43.4140625" style="7" customWidth="1"/>
    <col min="2" max="4" width="12.1640625" style="7" customWidth="1"/>
    <col min="5" max="5" width="11.6640625" style="7" customWidth="1"/>
    <col min="6" max="6" width="12.4140625" style="7" customWidth="1"/>
    <col min="7" max="11" width="11.75" style="7" customWidth="1"/>
    <col min="12" max="26" width="8.6640625" style="7" customWidth="1"/>
    <col min="27" max="16384" width="12.6640625" style="7"/>
  </cols>
  <sheetData>
    <row r="1" spans="1:12" s="373" customFormat="1" ht="13.5" customHeight="1">
      <c r="A1" s="372" t="s">
        <v>0</v>
      </c>
      <c r="B1" s="372"/>
      <c r="C1" s="372"/>
      <c r="D1" s="372"/>
      <c r="E1" s="372"/>
      <c r="F1" s="372"/>
    </row>
    <row r="2" spans="1:12" s="373" customFormat="1" ht="13.5" customHeight="1">
      <c r="A2" s="374"/>
      <c r="B2" s="374"/>
      <c r="C2" s="374"/>
      <c r="D2" s="374"/>
      <c r="E2" s="374"/>
      <c r="F2" s="374"/>
      <c r="G2" s="374"/>
      <c r="H2" s="374"/>
      <c r="I2" s="226"/>
      <c r="J2" s="375"/>
      <c r="K2" s="375" t="s">
        <v>1</v>
      </c>
    </row>
    <row r="3" spans="1:12" ht="13.5" customHeight="1">
      <c r="A3" s="312"/>
      <c r="B3" s="179" t="s">
        <v>2</v>
      </c>
      <c r="C3" s="354" t="s">
        <v>3</v>
      </c>
      <c r="D3" s="179" t="s">
        <v>4</v>
      </c>
      <c r="E3" s="179" t="s">
        <v>5</v>
      </c>
      <c r="F3" s="179" t="s">
        <v>6</v>
      </c>
      <c r="G3" s="179" t="s">
        <v>7</v>
      </c>
      <c r="H3" s="179" t="s">
        <v>8</v>
      </c>
      <c r="I3" s="179" t="s">
        <v>9</v>
      </c>
      <c r="J3" s="179" t="s">
        <v>10</v>
      </c>
      <c r="K3" s="179" t="s">
        <v>11</v>
      </c>
      <c r="L3" s="302" t="s">
        <v>12</v>
      </c>
    </row>
    <row r="4" spans="1:12" ht="13.5" customHeight="1">
      <c r="A4" s="28" t="s">
        <v>489</v>
      </c>
      <c r="B4" s="355">
        <v>1284387.1299999999</v>
      </c>
      <c r="C4" s="355">
        <v>1466532.05</v>
      </c>
      <c r="D4" s="355">
        <v>1549875.82</v>
      </c>
      <c r="E4" s="355">
        <v>1751845.53</v>
      </c>
      <c r="F4" s="355">
        <v>1817485.1</v>
      </c>
      <c r="G4" s="355">
        <v>1834856.22</v>
      </c>
      <c r="H4" s="355">
        <v>2230838.9</v>
      </c>
      <c r="I4" s="355">
        <v>2323231.59</v>
      </c>
      <c r="J4" s="355">
        <v>2724698.88</v>
      </c>
      <c r="K4" s="355">
        <v>2926870.97</v>
      </c>
      <c r="L4" s="355">
        <v>3382974.72</v>
      </c>
    </row>
    <row r="5" spans="1:12" ht="13.5" customHeight="1">
      <c r="A5" s="28" t="s">
        <v>490</v>
      </c>
      <c r="B5" s="356">
        <v>1591959.31</v>
      </c>
      <c r="C5" s="356">
        <v>1816187.99</v>
      </c>
      <c r="D5" s="356">
        <v>2018655.91</v>
      </c>
      <c r="E5" s="356">
        <v>2229013.12</v>
      </c>
      <c r="F5" s="356">
        <v>2490667.17</v>
      </c>
      <c r="G5" s="356">
        <v>2609155.77</v>
      </c>
      <c r="H5" s="356">
        <v>2964689.2</v>
      </c>
      <c r="I5" s="356">
        <v>3165818.67</v>
      </c>
      <c r="J5" s="356">
        <v>3511777.39</v>
      </c>
      <c r="K5" s="356">
        <v>3975938</v>
      </c>
      <c r="L5" s="356">
        <v>4107513.39</v>
      </c>
    </row>
    <row r="6" spans="1:12" ht="15" customHeight="1">
      <c r="A6" s="1" t="s">
        <v>13</v>
      </c>
      <c r="B6" s="357">
        <v>1372253.58</v>
      </c>
      <c r="C6" s="357">
        <v>1462394.12</v>
      </c>
      <c r="D6" s="357">
        <v>1766703.26</v>
      </c>
      <c r="E6" s="357"/>
      <c r="F6" s="357"/>
      <c r="G6" s="357"/>
      <c r="H6" s="357"/>
      <c r="I6" s="357"/>
      <c r="J6" s="357"/>
      <c r="K6" s="357"/>
      <c r="L6" s="357"/>
    </row>
    <row r="7" spans="1:12" ht="15" customHeight="1">
      <c r="A7" s="2" t="s">
        <v>14</v>
      </c>
      <c r="B7" s="357">
        <v>219705.73</v>
      </c>
      <c r="C7" s="357">
        <v>353793.87</v>
      </c>
      <c r="D7" s="357">
        <v>251952.65</v>
      </c>
      <c r="E7" s="357"/>
      <c r="F7" s="357"/>
      <c r="G7" s="357"/>
      <c r="H7" s="357"/>
      <c r="I7" s="357"/>
      <c r="J7" s="357"/>
      <c r="K7" s="357"/>
      <c r="L7" s="357"/>
    </row>
    <row r="8" spans="1:12" ht="13.5" customHeight="1">
      <c r="A8" s="358" t="s">
        <v>15</v>
      </c>
      <c r="B8" s="359">
        <v>-307572.18</v>
      </c>
      <c r="C8" s="359">
        <v>-349655.94</v>
      </c>
      <c r="D8" s="359">
        <v>-468780.09</v>
      </c>
      <c r="E8" s="359">
        <v>-477167.6</v>
      </c>
      <c r="F8" s="359">
        <v>-673182.07</v>
      </c>
      <c r="G8" s="359">
        <v>-774299.55</v>
      </c>
      <c r="H8" s="359">
        <v>-733850.29</v>
      </c>
      <c r="I8" s="359">
        <v>-842587.07</v>
      </c>
      <c r="J8" s="359">
        <v>-787078.51</v>
      </c>
      <c r="K8" s="359">
        <v>-1049067.03</v>
      </c>
      <c r="L8" s="359">
        <v>-724538.67</v>
      </c>
    </row>
    <row r="9" spans="1:12" ht="13.5" customHeight="1">
      <c r="A9" s="360" t="s">
        <v>16</v>
      </c>
      <c r="B9" s="361">
        <v>174078.54</v>
      </c>
      <c r="C9" s="361">
        <v>223827.45</v>
      </c>
      <c r="D9" s="361">
        <v>191994.61</v>
      </c>
      <c r="E9" s="361">
        <v>185064.82</v>
      </c>
      <c r="F9" s="361">
        <v>105088.64</v>
      </c>
      <c r="G9" s="361">
        <v>122507.97</v>
      </c>
      <c r="H9" s="361">
        <v>62828.79</v>
      </c>
      <c r="I9" s="361">
        <v>52368.27</v>
      </c>
      <c r="J9" s="361">
        <v>93431.7</v>
      </c>
      <c r="K9" s="361">
        <v>102054.42</v>
      </c>
      <c r="L9" s="361">
        <v>162066.37</v>
      </c>
    </row>
    <row r="10" spans="1:12" ht="13.5" customHeight="1">
      <c r="A10" s="312" t="s">
        <v>17</v>
      </c>
      <c r="B10" s="359">
        <v>-481650.72</v>
      </c>
      <c r="C10" s="359">
        <v>-573483.39</v>
      </c>
      <c r="D10" s="359">
        <v>-660774.69999999995</v>
      </c>
      <c r="E10" s="359">
        <v>-662232.42000000004</v>
      </c>
      <c r="F10" s="359">
        <v>-778270.7</v>
      </c>
      <c r="G10" s="359">
        <v>-896807.52</v>
      </c>
      <c r="H10" s="359">
        <v>-796679.08</v>
      </c>
      <c r="I10" s="359">
        <v>-894955.34</v>
      </c>
      <c r="J10" s="359">
        <v>-880510.22</v>
      </c>
      <c r="K10" s="359">
        <v>-1151121.45</v>
      </c>
      <c r="L10" s="359">
        <v>-886605.03</v>
      </c>
    </row>
    <row r="11" spans="1:12" ht="13.5" customHeight="1">
      <c r="A11" s="176" t="s">
        <v>18</v>
      </c>
      <c r="B11" s="362">
        <v>-482422.88</v>
      </c>
      <c r="C11" s="362">
        <v>-644089.17000000004</v>
      </c>
      <c r="D11" s="362">
        <v>-689225.5</v>
      </c>
      <c r="E11" s="362">
        <v>-709442.62</v>
      </c>
      <c r="F11" s="362">
        <v>-777374.59</v>
      </c>
      <c r="G11" s="362">
        <v>-940157.59000000008</v>
      </c>
      <c r="H11" s="362">
        <v>-733433.06</v>
      </c>
      <c r="I11" s="362">
        <v>-676841.53</v>
      </c>
      <c r="J11" s="362">
        <v>-791900</v>
      </c>
      <c r="K11" s="362">
        <v>-966839</v>
      </c>
      <c r="L11" s="362">
        <v>-1068503.6100000001</v>
      </c>
    </row>
    <row r="12" spans="1:12" ht="13.5" customHeight="1">
      <c r="A12" s="161" t="s">
        <v>491</v>
      </c>
      <c r="B12" s="363">
        <v>180977.17</v>
      </c>
      <c r="C12" s="363">
        <v>17808.259999999998</v>
      </c>
      <c r="D12" s="363">
        <v>18301.34</v>
      </c>
      <c r="E12" s="363">
        <v>11612.93</v>
      </c>
      <c r="F12" s="363">
        <v>13429.75</v>
      </c>
      <c r="G12" s="363">
        <v>10077.84</v>
      </c>
      <c r="H12" s="363">
        <v>14391.69</v>
      </c>
      <c r="I12" s="363">
        <v>12163.47</v>
      </c>
      <c r="J12" s="363">
        <v>27180</v>
      </c>
      <c r="K12" s="363">
        <v>28280</v>
      </c>
      <c r="L12" s="363">
        <v>29186</v>
      </c>
    </row>
    <row r="13" spans="1:12" ht="13.5" customHeight="1">
      <c r="A13" s="28" t="s">
        <v>19</v>
      </c>
      <c r="B13" s="363">
        <v>180977.17</v>
      </c>
      <c r="C13" s="363">
        <v>17808.259999999998</v>
      </c>
      <c r="D13" s="363">
        <v>18301.34</v>
      </c>
      <c r="E13" s="363">
        <v>11612.93</v>
      </c>
      <c r="F13" s="363">
        <v>13429.75</v>
      </c>
      <c r="G13" s="363">
        <v>10077.84</v>
      </c>
      <c r="H13" s="363">
        <v>14391.69</v>
      </c>
      <c r="I13" s="363">
        <v>12163.47</v>
      </c>
      <c r="J13" s="363">
        <v>27180</v>
      </c>
      <c r="K13" s="363">
        <v>28280</v>
      </c>
      <c r="L13" s="363">
        <v>29186</v>
      </c>
    </row>
    <row r="14" spans="1:12" ht="13.5" customHeight="1">
      <c r="A14" s="28" t="s">
        <v>20</v>
      </c>
      <c r="B14" s="364">
        <v>0</v>
      </c>
      <c r="C14" s="365" t="s">
        <v>21</v>
      </c>
      <c r="D14" s="364">
        <v>0</v>
      </c>
      <c r="E14" s="365" t="s">
        <v>22</v>
      </c>
      <c r="F14" s="365" t="s">
        <v>22</v>
      </c>
      <c r="G14" s="365" t="s">
        <v>22</v>
      </c>
      <c r="H14" s="365" t="s">
        <v>22</v>
      </c>
      <c r="I14" s="365" t="s">
        <v>22</v>
      </c>
      <c r="J14" s="365" t="s">
        <v>22</v>
      </c>
      <c r="K14" s="364" t="s">
        <v>21</v>
      </c>
      <c r="L14" s="364" t="s">
        <v>21</v>
      </c>
    </row>
    <row r="15" spans="1:12" ht="13.5" customHeight="1">
      <c r="A15" s="161" t="s">
        <v>492</v>
      </c>
      <c r="B15" s="366">
        <v>663400.05000000005</v>
      </c>
      <c r="C15" s="366">
        <v>661897.43000000005</v>
      </c>
      <c r="D15" s="366">
        <v>707526.84</v>
      </c>
      <c r="E15" s="366">
        <v>721055.55</v>
      </c>
      <c r="F15" s="366">
        <v>790804.34</v>
      </c>
      <c r="G15" s="366">
        <v>950235.43</v>
      </c>
      <c r="H15" s="366">
        <v>747824.76</v>
      </c>
      <c r="I15" s="366">
        <v>689005</v>
      </c>
      <c r="J15" s="366">
        <v>819080</v>
      </c>
      <c r="K15" s="366">
        <v>995119</v>
      </c>
      <c r="L15" s="366">
        <v>1097689.6100000001</v>
      </c>
    </row>
    <row r="16" spans="1:12" ht="13.5" customHeight="1">
      <c r="A16" s="28" t="s">
        <v>23</v>
      </c>
      <c r="B16" s="363">
        <v>358414.55</v>
      </c>
      <c r="C16" s="363">
        <v>276152.78999999998</v>
      </c>
      <c r="D16" s="363">
        <v>352549.94</v>
      </c>
      <c r="E16" s="363">
        <v>306538.01</v>
      </c>
      <c r="F16" s="363">
        <v>450373.01</v>
      </c>
      <c r="G16" s="363">
        <v>626925.84</v>
      </c>
      <c r="H16" s="363">
        <v>605300.89</v>
      </c>
      <c r="I16" s="363">
        <v>533098</v>
      </c>
      <c r="J16" s="363">
        <v>613767</v>
      </c>
      <c r="K16" s="363">
        <v>784117</v>
      </c>
      <c r="L16" s="363">
        <v>851421.4</v>
      </c>
    </row>
    <row r="17" spans="1:12" ht="13.5" customHeight="1">
      <c r="A17" s="367" t="s">
        <v>24</v>
      </c>
      <c r="B17" s="368">
        <v>304985.5</v>
      </c>
      <c r="C17" s="368">
        <v>385744.64000000001</v>
      </c>
      <c r="D17" s="368">
        <v>354976.9</v>
      </c>
      <c r="E17" s="368">
        <v>414517.54</v>
      </c>
      <c r="F17" s="368">
        <v>340431.33</v>
      </c>
      <c r="G17" s="368">
        <v>323309.58</v>
      </c>
      <c r="H17" s="368">
        <v>142523.87</v>
      </c>
      <c r="I17" s="368">
        <v>155907</v>
      </c>
      <c r="J17" s="368">
        <v>205313</v>
      </c>
      <c r="K17" s="368">
        <v>211002</v>
      </c>
      <c r="L17" s="368">
        <v>246268.21</v>
      </c>
    </row>
    <row r="18" spans="1:12" ht="13.5" customHeight="1">
      <c r="A18" s="176" t="s">
        <v>25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</row>
    <row r="19" spans="1:12" ht="13.5" customHeight="1">
      <c r="A19" s="28" t="s">
        <v>26</v>
      </c>
      <c r="B19" s="366">
        <v>222896.68</v>
      </c>
      <c r="C19" s="366">
        <v>216943.22</v>
      </c>
      <c r="D19" s="366">
        <v>344334.9</v>
      </c>
      <c r="E19" s="366">
        <v>474348.26</v>
      </c>
      <c r="F19" s="366">
        <v>214180</v>
      </c>
      <c r="G19" s="366">
        <v>285486</v>
      </c>
      <c r="H19" s="366">
        <v>339799</v>
      </c>
      <c r="I19" s="366">
        <v>512749</v>
      </c>
      <c r="J19" s="366">
        <v>736920</v>
      </c>
      <c r="K19" s="366">
        <v>734609</v>
      </c>
      <c r="L19" s="366">
        <v>1161945.49</v>
      </c>
    </row>
    <row r="20" spans="1:12" ht="13.5" customHeight="1">
      <c r="A20" s="28" t="s">
        <v>27</v>
      </c>
      <c r="B20" s="363">
        <v>35633.360000000001</v>
      </c>
      <c r="C20" s="363">
        <v>44839</v>
      </c>
      <c r="D20" s="363">
        <v>150282.37</v>
      </c>
      <c r="E20" s="363">
        <v>265106.26</v>
      </c>
      <c r="F20" s="363">
        <v>101600</v>
      </c>
      <c r="G20" s="363">
        <v>128278</v>
      </c>
      <c r="H20" s="363">
        <v>184536</v>
      </c>
      <c r="I20" s="363">
        <v>248776</v>
      </c>
      <c r="J20" s="363">
        <v>552104</v>
      </c>
      <c r="K20" s="363">
        <v>367804</v>
      </c>
      <c r="L20" s="363">
        <v>617688.38</v>
      </c>
    </row>
    <row r="21" spans="1:12" ht="13.5" customHeight="1">
      <c r="A21" s="369" t="s">
        <v>28</v>
      </c>
      <c r="B21" s="370">
        <v>187263.32</v>
      </c>
      <c r="C21" s="370">
        <v>172104.23</v>
      </c>
      <c r="D21" s="370">
        <v>194052.52</v>
      </c>
      <c r="E21" s="370">
        <v>209242</v>
      </c>
      <c r="F21" s="370">
        <v>112580</v>
      </c>
      <c r="G21" s="370">
        <v>157208</v>
      </c>
      <c r="H21" s="370">
        <v>155263</v>
      </c>
      <c r="I21" s="370">
        <v>263973</v>
      </c>
      <c r="J21" s="370">
        <v>184816</v>
      </c>
      <c r="K21" s="370">
        <v>366805</v>
      </c>
      <c r="L21" s="370">
        <v>544257.1</v>
      </c>
    </row>
    <row r="22" spans="1:12" s="379" customFormat="1" ht="13.5" customHeight="1">
      <c r="A22" s="376" t="s">
        <v>29</v>
      </c>
      <c r="B22" s="376"/>
      <c r="C22" s="376"/>
      <c r="D22" s="377"/>
      <c r="E22" s="377"/>
      <c r="F22" s="377"/>
      <c r="G22" s="378"/>
      <c r="H22" s="378"/>
      <c r="I22" s="378"/>
      <c r="J22" s="378"/>
    </row>
    <row r="23" spans="1:12" s="379" customFormat="1" ht="13.5" customHeight="1">
      <c r="A23" s="376" t="s">
        <v>493</v>
      </c>
      <c r="B23" s="380"/>
      <c r="C23" s="380"/>
      <c r="D23" s="380"/>
      <c r="E23" s="380"/>
      <c r="F23" s="380"/>
      <c r="G23" s="380"/>
      <c r="H23" s="380"/>
      <c r="I23" s="380"/>
      <c r="J23" s="380"/>
    </row>
    <row r="24" spans="1:12" s="379" customFormat="1" ht="13.5" customHeight="1">
      <c r="A24" s="376" t="s">
        <v>494</v>
      </c>
      <c r="B24" s="376"/>
      <c r="C24" s="376"/>
      <c r="D24" s="376"/>
      <c r="E24" s="376"/>
      <c r="F24" s="376"/>
      <c r="G24" s="376"/>
      <c r="H24" s="376"/>
      <c r="I24" s="376"/>
      <c r="J24" s="376"/>
    </row>
    <row r="25" spans="1:12" s="379" customFormat="1" ht="13.5" customHeight="1">
      <c r="A25" s="381" t="s">
        <v>495</v>
      </c>
      <c r="B25" s="381"/>
      <c r="C25" s="381"/>
      <c r="G25" s="382"/>
      <c r="H25" s="382"/>
      <c r="I25" s="382"/>
      <c r="J25" s="382"/>
    </row>
    <row r="26" spans="1:12" ht="13.5" customHeight="1">
      <c r="D26" s="28"/>
      <c r="E26" s="28"/>
      <c r="F26" s="28"/>
    </row>
    <row r="27" spans="1:12" ht="13.5" customHeight="1">
      <c r="A27" s="67"/>
      <c r="B27" s="371"/>
      <c r="C27" s="371"/>
      <c r="D27" s="371"/>
      <c r="E27" s="371"/>
      <c r="F27" s="371"/>
      <c r="G27" s="371"/>
      <c r="H27" s="371"/>
      <c r="I27" s="371"/>
      <c r="J27" s="371"/>
    </row>
    <row r="28" spans="1:12" ht="13.5" customHeight="1">
      <c r="A28" s="67"/>
      <c r="C28" s="67"/>
      <c r="D28" s="67"/>
      <c r="E28" s="67"/>
      <c r="F28" s="67"/>
      <c r="G28" s="67"/>
      <c r="H28" s="67"/>
      <c r="I28" s="67"/>
      <c r="J28" s="67"/>
    </row>
    <row r="29" spans="1:12" ht="13.5" customHeight="1">
      <c r="A29" s="67"/>
      <c r="D29" s="371"/>
      <c r="E29" s="371"/>
      <c r="F29" s="371"/>
    </row>
    <row r="30" spans="1:12" ht="13.5" customHeight="1">
      <c r="B30" s="371"/>
      <c r="C30" s="371"/>
      <c r="D30" s="371"/>
      <c r="E30" s="371"/>
      <c r="F30" s="371"/>
      <c r="G30" s="371"/>
      <c r="H30" s="371"/>
      <c r="I30" s="371"/>
      <c r="J30" s="371"/>
    </row>
    <row r="31" spans="1:12" ht="13.5" customHeight="1">
      <c r="C31" s="67"/>
      <c r="D31" s="67"/>
      <c r="E31" s="67"/>
      <c r="F31" s="67"/>
      <c r="G31" s="67"/>
      <c r="H31" s="67"/>
      <c r="I31" s="67"/>
      <c r="J31" s="67"/>
    </row>
    <row r="32" spans="1:12" ht="13.5" customHeight="1">
      <c r="D32" s="371"/>
      <c r="E32" s="371"/>
      <c r="F32" s="371"/>
    </row>
    <row r="33" s="7" customFormat="1" ht="13.5" customHeight="1"/>
    <row r="34" s="7" customFormat="1" ht="13.5" customHeight="1"/>
    <row r="35" s="7" customFormat="1" ht="13.5" customHeight="1"/>
    <row r="36" s="7" customFormat="1" ht="13.5" customHeight="1"/>
    <row r="37" s="7" customFormat="1" ht="13.5" customHeight="1"/>
    <row r="38" s="7" customFormat="1" ht="13.5" customHeight="1"/>
    <row r="39" s="7" customFormat="1" ht="13.5" customHeight="1"/>
    <row r="40" s="7" customFormat="1" ht="13.5" customHeight="1"/>
    <row r="41" s="7" customFormat="1" ht="13.5" customHeight="1"/>
    <row r="42" s="7" customFormat="1" ht="13.5" customHeight="1"/>
    <row r="43" s="7" customFormat="1" ht="13.5" customHeight="1"/>
    <row r="44" s="7" customFormat="1" ht="13.5" customHeight="1"/>
    <row r="45" s="7" customFormat="1" ht="13.5" customHeight="1"/>
    <row r="46" s="7" customFormat="1" ht="13.5" customHeight="1"/>
    <row r="47" s="7" customFormat="1" ht="13.5" customHeight="1"/>
    <row r="48" s="7" customFormat="1" ht="13.5" customHeight="1"/>
    <row r="49" s="7" customFormat="1" ht="13.5" customHeight="1"/>
    <row r="50" s="7" customFormat="1" ht="13.5" customHeight="1"/>
    <row r="51" s="7" customFormat="1" ht="13.5" customHeight="1"/>
    <row r="52" s="7" customFormat="1" ht="13.5" customHeight="1"/>
    <row r="53" s="7" customFormat="1" ht="13.5" customHeight="1"/>
    <row r="54" s="7" customFormat="1" ht="13.5" customHeight="1"/>
    <row r="55" s="7" customFormat="1" ht="13.5" customHeight="1"/>
    <row r="56" s="7" customFormat="1" ht="13.5" customHeight="1"/>
    <row r="57" s="7" customFormat="1" ht="13.5" customHeight="1"/>
    <row r="58" s="7" customFormat="1" ht="13.5" customHeight="1"/>
    <row r="59" s="7" customFormat="1" ht="13.5" customHeight="1"/>
    <row r="60" s="7" customFormat="1" ht="13.5" customHeight="1"/>
    <row r="61" s="7" customFormat="1" ht="13.5" customHeight="1"/>
    <row r="62" s="7" customFormat="1" ht="13.5" customHeight="1"/>
    <row r="63" s="7" customFormat="1" ht="13.5" customHeight="1"/>
    <row r="64" s="7" customFormat="1" ht="13.5" customHeight="1"/>
    <row r="65" s="7" customFormat="1" ht="13.5" customHeight="1"/>
    <row r="66" s="7" customFormat="1" ht="13.5" customHeight="1"/>
    <row r="67" s="7" customFormat="1" ht="13.5" customHeight="1"/>
    <row r="68" s="7" customFormat="1" ht="13.5" customHeight="1"/>
    <row r="69" s="7" customFormat="1" ht="13.5" customHeight="1"/>
    <row r="70" s="7" customFormat="1" ht="13.5" customHeight="1"/>
    <row r="71" s="7" customFormat="1" ht="13.5" customHeight="1"/>
    <row r="72" s="7" customFormat="1" ht="13.5" customHeight="1"/>
    <row r="73" s="7" customFormat="1" ht="13.5" customHeight="1"/>
    <row r="74" s="7" customFormat="1" ht="13.5" customHeight="1"/>
    <row r="75" s="7" customFormat="1" ht="13.5" customHeight="1"/>
    <row r="76" s="7" customFormat="1" ht="13.5" customHeight="1"/>
    <row r="77" s="7" customFormat="1" ht="13.5" customHeight="1"/>
    <row r="78" s="7" customFormat="1" ht="13.5" customHeight="1"/>
    <row r="79" s="7" customFormat="1" ht="13.5" customHeight="1"/>
    <row r="80" s="7" customFormat="1" ht="13.5" customHeight="1"/>
    <row r="81" s="7" customFormat="1" ht="13.5" customHeight="1"/>
    <row r="82" s="7" customFormat="1" ht="13.5" customHeight="1"/>
    <row r="83" s="7" customFormat="1" ht="13.5" customHeight="1"/>
    <row r="84" s="7" customFormat="1" ht="13.5" customHeight="1"/>
    <row r="85" s="7" customFormat="1" ht="13.5" customHeight="1"/>
    <row r="86" s="7" customFormat="1" ht="13.5" customHeight="1"/>
    <row r="87" s="7" customFormat="1" ht="13.5" customHeight="1"/>
    <row r="88" s="7" customFormat="1" ht="13.5" customHeight="1"/>
    <row r="89" s="7" customFormat="1" ht="13.5" customHeight="1"/>
    <row r="90" s="7" customFormat="1" ht="13.5" customHeight="1"/>
    <row r="91" s="7" customFormat="1" ht="13.5" customHeight="1"/>
    <row r="92" s="7" customFormat="1" ht="13.5" customHeight="1"/>
    <row r="93" s="7" customFormat="1" ht="13.5" customHeight="1"/>
    <row r="94" s="7" customFormat="1" ht="13.5" customHeight="1"/>
    <row r="95" s="7" customFormat="1" ht="13.5" customHeight="1"/>
    <row r="96" s="7" customFormat="1" ht="13.5" customHeight="1"/>
    <row r="97" s="7" customFormat="1" ht="13.5" customHeight="1"/>
    <row r="98" s="7" customFormat="1" ht="13.5" customHeight="1"/>
    <row r="99" s="7" customFormat="1" ht="13.5" customHeight="1"/>
    <row r="100" s="7" customFormat="1" ht="13.5" customHeight="1"/>
    <row r="101" s="7" customFormat="1" ht="13.5" customHeight="1"/>
    <row r="102" s="7" customFormat="1" ht="13.5" customHeight="1"/>
    <row r="103" s="7" customFormat="1" ht="13.5" customHeight="1"/>
    <row r="104" s="7" customFormat="1" ht="13.5" customHeight="1"/>
    <row r="105" s="7" customFormat="1" ht="13.5" customHeight="1"/>
    <row r="106" s="7" customFormat="1" ht="13.5" customHeight="1"/>
    <row r="107" s="7" customFormat="1" ht="13.5" customHeight="1"/>
    <row r="108" s="7" customFormat="1" ht="13.5" customHeight="1"/>
    <row r="109" s="7" customFormat="1" ht="13.5" customHeight="1"/>
    <row r="110" s="7" customFormat="1" ht="13.5" customHeight="1"/>
    <row r="111" s="7" customFormat="1" ht="13.5" customHeight="1"/>
    <row r="112" s="7" customFormat="1" ht="13.5" customHeight="1"/>
    <row r="113" s="7" customFormat="1" ht="13.5" customHeight="1"/>
    <row r="114" s="7" customFormat="1" ht="13.5" customHeight="1"/>
    <row r="115" s="7" customFormat="1" ht="13.5" customHeight="1"/>
    <row r="116" s="7" customFormat="1" ht="13.5" customHeight="1"/>
    <row r="117" s="7" customFormat="1" ht="13.5" customHeight="1"/>
    <row r="118" s="7" customFormat="1" ht="13.5" customHeight="1"/>
    <row r="119" s="7" customFormat="1" ht="13.5" customHeight="1"/>
    <row r="120" s="7" customFormat="1" ht="13.5" customHeight="1"/>
    <row r="121" s="7" customFormat="1" ht="13.5" customHeight="1"/>
    <row r="122" s="7" customFormat="1" ht="13.5" customHeight="1"/>
    <row r="123" s="7" customFormat="1" ht="13.5" customHeight="1"/>
    <row r="124" s="7" customFormat="1" ht="13.5" customHeight="1"/>
    <row r="125" s="7" customFormat="1" ht="13.5" customHeight="1"/>
    <row r="126" s="7" customFormat="1" ht="13.5" customHeight="1"/>
    <row r="127" s="7" customFormat="1" ht="13.5" customHeight="1"/>
    <row r="128" s="7" customFormat="1" ht="13.5" customHeight="1"/>
    <row r="129" s="7" customFormat="1" ht="13.5" customHeight="1"/>
    <row r="130" s="7" customFormat="1" ht="13.5" customHeight="1"/>
    <row r="131" s="7" customFormat="1" ht="13.5" customHeight="1"/>
    <row r="132" s="7" customFormat="1" ht="13.5" customHeight="1"/>
    <row r="133" s="7" customFormat="1" ht="13.5" customHeight="1"/>
    <row r="134" s="7" customFormat="1" ht="13.5" customHeight="1"/>
    <row r="135" s="7" customFormat="1" ht="13.5" customHeight="1"/>
    <row r="136" s="7" customFormat="1" ht="13.5" customHeight="1"/>
    <row r="137" s="7" customFormat="1" ht="13.5" customHeight="1"/>
    <row r="138" s="7" customFormat="1" ht="13.5" customHeight="1"/>
    <row r="139" s="7" customFormat="1" ht="13.5" customHeight="1"/>
    <row r="140" s="7" customFormat="1" ht="13.5" customHeight="1"/>
    <row r="141" s="7" customFormat="1" ht="13.5" customHeight="1"/>
    <row r="142" s="7" customFormat="1" ht="13.5" customHeight="1"/>
    <row r="143" s="7" customFormat="1" ht="13.5" customHeight="1"/>
    <row r="144" s="7" customFormat="1" ht="13.5" customHeight="1"/>
    <row r="145" s="7" customFormat="1" ht="13.5" customHeight="1"/>
    <row r="146" s="7" customFormat="1" ht="13.5" customHeight="1"/>
    <row r="147" s="7" customFormat="1" ht="13.5" customHeight="1"/>
    <row r="148" s="7" customFormat="1" ht="13.5" customHeight="1"/>
    <row r="149" s="7" customFormat="1" ht="13.5" customHeight="1"/>
    <row r="150" s="7" customFormat="1" ht="13.5" customHeight="1"/>
    <row r="151" s="7" customFormat="1" ht="13.5" customHeight="1"/>
    <row r="152" s="7" customFormat="1" ht="13.5" customHeight="1"/>
    <row r="153" s="7" customFormat="1" ht="13.5" customHeight="1"/>
    <row r="154" s="7" customFormat="1" ht="13.5" customHeight="1"/>
    <row r="155" s="7" customFormat="1" ht="13.5" customHeight="1"/>
    <row r="156" s="7" customFormat="1" ht="13.5" customHeight="1"/>
    <row r="157" s="7" customFormat="1" ht="13.5" customHeight="1"/>
    <row r="158" s="7" customFormat="1" ht="13.5" customHeight="1"/>
    <row r="159" s="7" customFormat="1" ht="13.5" customHeight="1"/>
    <row r="160" s="7" customFormat="1" ht="13.5" customHeight="1"/>
    <row r="161" s="7" customFormat="1" ht="13.5" customHeight="1"/>
    <row r="162" s="7" customFormat="1" ht="13.5" customHeight="1"/>
    <row r="163" s="7" customFormat="1" ht="13.5" customHeight="1"/>
    <row r="164" s="7" customFormat="1" ht="13.5" customHeight="1"/>
    <row r="165" s="7" customFormat="1" ht="13.5" customHeight="1"/>
    <row r="166" s="7" customFormat="1" ht="13.5" customHeight="1"/>
    <row r="167" s="7" customFormat="1" ht="13.5" customHeight="1"/>
    <row r="168" s="7" customFormat="1" ht="13.5" customHeight="1"/>
    <row r="169" s="7" customFormat="1" ht="13.5" customHeight="1"/>
    <row r="170" s="7" customFormat="1" ht="13.5" customHeight="1"/>
    <row r="171" s="7" customFormat="1" ht="13.5" customHeight="1"/>
    <row r="172" s="7" customFormat="1" ht="13.5" customHeight="1"/>
    <row r="173" s="7" customFormat="1" ht="13.5" customHeight="1"/>
    <row r="174" s="7" customFormat="1" ht="13.5" customHeight="1"/>
    <row r="175" s="7" customFormat="1" ht="13.5" customHeight="1"/>
    <row r="176" s="7" customFormat="1" ht="13.5" customHeight="1"/>
    <row r="177" s="7" customFormat="1" ht="13.5" customHeight="1"/>
    <row r="178" s="7" customFormat="1" ht="13.5" customHeight="1"/>
    <row r="179" s="7" customFormat="1" ht="13.5" customHeight="1"/>
    <row r="180" s="7" customFormat="1" ht="13.5" customHeight="1"/>
    <row r="181" s="7" customFormat="1" ht="13.5" customHeight="1"/>
    <row r="182" s="7" customFormat="1" ht="13.5" customHeight="1"/>
    <row r="183" s="7" customFormat="1" ht="13.5" customHeight="1"/>
    <row r="184" s="7" customFormat="1" ht="13.5" customHeight="1"/>
    <row r="185" s="7" customFormat="1" ht="13.5" customHeight="1"/>
    <row r="186" s="7" customFormat="1" ht="13.5" customHeight="1"/>
    <row r="187" s="7" customFormat="1" ht="13.5" customHeight="1"/>
    <row r="188" s="7" customFormat="1" ht="13.5" customHeight="1"/>
    <row r="189" s="7" customFormat="1" ht="13.5" customHeight="1"/>
    <row r="190" s="7" customFormat="1" ht="13.5" customHeight="1"/>
    <row r="191" s="7" customFormat="1" ht="13.5" customHeight="1"/>
    <row r="192" s="7" customFormat="1" ht="13.5" customHeight="1"/>
    <row r="193" s="7" customFormat="1" ht="13.5" customHeight="1"/>
    <row r="194" s="7" customFormat="1" ht="13.5" customHeight="1"/>
    <row r="195" s="7" customFormat="1" ht="13.5" customHeight="1"/>
    <row r="196" s="7" customFormat="1" ht="13.5" customHeight="1"/>
    <row r="197" s="7" customFormat="1" ht="13.5" customHeight="1"/>
    <row r="198" s="7" customFormat="1" ht="13.5" customHeight="1"/>
    <row r="199" s="7" customFormat="1" ht="13.5" customHeight="1"/>
    <row r="200" s="7" customFormat="1" ht="13.5" customHeight="1"/>
    <row r="201" s="7" customFormat="1" ht="13.5" customHeight="1"/>
    <row r="202" s="7" customFormat="1" ht="13.5" customHeight="1"/>
    <row r="203" s="7" customFormat="1" ht="13.5" customHeight="1"/>
    <row r="204" s="7" customFormat="1" ht="13.5" customHeight="1"/>
    <row r="205" s="7" customFormat="1" ht="13.5" customHeight="1"/>
    <row r="206" s="7" customFormat="1" ht="13.5" customHeight="1"/>
    <row r="207" s="7" customFormat="1" ht="13.5" customHeight="1"/>
    <row r="208" s="7" customFormat="1" ht="13.5" customHeight="1"/>
    <row r="209" s="7" customFormat="1" ht="13.5" customHeight="1"/>
    <row r="210" s="7" customFormat="1" ht="13.5" customHeight="1"/>
    <row r="211" s="7" customFormat="1" ht="13.5" customHeight="1"/>
    <row r="212" s="7" customFormat="1" ht="13.5" customHeight="1"/>
    <row r="213" s="7" customFormat="1" ht="13.5" customHeight="1"/>
    <row r="214" s="7" customFormat="1" ht="13.5" customHeight="1"/>
    <row r="215" s="7" customFormat="1" ht="13.5" customHeight="1"/>
    <row r="216" s="7" customFormat="1" ht="13.5" customHeight="1"/>
    <row r="217" s="7" customFormat="1" ht="13.5" customHeight="1"/>
    <row r="218" s="7" customFormat="1" ht="13.5" customHeight="1"/>
    <row r="219" s="7" customFormat="1" ht="13.5" customHeight="1"/>
    <row r="220" s="7" customFormat="1" ht="13.5" customHeight="1"/>
    <row r="221" s="7" customFormat="1" ht="13.5" customHeight="1"/>
    <row r="222" s="7" customFormat="1" ht="13.5" customHeight="1"/>
    <row r="223" s="7" customFormat="1" ht="13.5" customHeight="1"/>
    <row r="224" s="7" customFormat="1" ht="13.5" customHeight="1"/>
    <row r="225" s="7" customFormat="1" ht="13.5" customHeight="1"/>
    <row r="226" s="7" customFormat="1" ht="13.5" customHeight="1"/>
    <row r="227" s="7" customFormat="1" ht="13.5" customHeight="1"/>
    <row r="228" s="7" customFormat="1" ht="13.5" customHeight="1"/>
    <row r="229" s="7" customFormat="1" ht="13.5" customHeight="1"/>
    <row r="230" s="7" customFormat="1" ht="13.5" customHeight="1"/>
    <row r="231" s="7" customFormat="1" ht="13.5" customHeight="1"/>
    <row r="232" s="7" customFormat="1" ht="13.5" customHeight="1"/>
    <row r="233" s="7" customFormat="1" ht="13.5" customHeight="1"/>
    <row r="234" s="7" customFormat="1" ht="13.5" customHeight="1"/>
    <row r="235" s="7" customFormat="1" ht="13.5" customHeight="1"/>
    <row r="236" s="7" customFormat="1" ht="13.5" customHeight="1"/>
    <row r="237" s="7" customFormat="1" ht="13.5" customHeight="1"/>
    <row r="238" s="7" customFormat="1" ht="13.5" customHeight="1"/>
    <row r="239" s="7" customFormat="1" ht="13.5" customHeight="1"/>
    <row r="240" s="7" customFormat="1" ht="13.5" customHeight="1"/>
    <row r="241" s="7" customFormat="1" ht="13.5" customHeight="1"/>
    <row r="242" s="7" customFormat="1" ht="13.5" customHeight="1"/>
    <row r="243" s="7" customFormat="1" ht="13.5" customHeight="1"/>
    <row r="244" s="7" customFormat="1" ht="13.5" customHeight="1"/>
    <row r="245" s="7" customFormat="1" ht="13.5" customHeight="1"/>
    <row r="246" s="7" customFormat="1" ht="13.5" customHeight="1"/>
    <row r="247" s="7" customFormat="1" ht="13.5" customHeight="1"/>
    <row r="248" s="7" customFormat="1" ht="13.5" customHeight="1"/>
    <row r="249" s="7" customFormat="1" ht="13.5" customHeight="1"/>
    <row r="250" s="7" customFormat="1" ht="13.5" customHeight="1"/>
    <row r="251" s="7" customFormat="1" ht="13.5" customHeight="1"/>
    <row r="252" s="7" customFormat="1" ht="13.5" customHeight="1"/>
    <row r="253" s="7" customFormat="1" ht="13.5" customHeight="1"/>
    <row r="254" s="7" customFormat="1" ht="13.5" customHeight="1"/>
    <row r="255" s="7" customFormat="1" ht="13.5" customHeight="1"/>
    <row r="256" s="7" customFormat="1" ht="13.5" customHeight="1"/>
    <row r="257" s="7" customFormat="1" ht="13.5" customHeight="1"/>
    <row r="258" s="7" customFormat="1" ht="13.5" customHeight="1"/>
    <row r="259" s="7" customFormat="1" ht="13.5" customHeight="1"/>
    <row r="260" s="7" customFormat="1" ht="13.5" customHeight="1"/>
    <row r="261" s="7" customFormat="1" ht="13.5" customHeight="1"/>
    <row r="262" s="7" customFormat="1" ht="13.5" customHeight="1"/>
    <row r="263" s="7" customFormat="1" ht="13.5" customHeight="1"/>
    <row r="264" s="7" customFormat="1" ht="13.5" customHeight="1"/>
    <row r="265" s="7" customFormat="1" ht="13.5" customHeight="1"/>
    <row r="266" s="7" customFormat="1" ht="13.5" customHeight="1"/>
    <row r="267" s="7" customFormat="1" ht="13.5" customHeight="1"/>
    <row r="268" s="7" customFormat="1" ht="13.5" customHeight="1"/>
    <row r="269" s="7" customFormat="1" ht="13.5" customHeight="1"/>
    <row r="270" s="7" customFormat="1" ht="13.5" customHeight="1"/>
    <row r="271" s="7" customFormat="1" ht="13.5" customHeight="1"/>
    <row r="272" s="7" customFormat="1" ht="13.5" customHeight="1"/>
    <row r="273" s="7" customFormat="1" ht="13.5" customHeight="1"/>
    <row r="274" s="7" customFormat="1" ht="13.5" customHeight="1"/>
    <row r="275" s="7" customFormat="1" ht="13.5" customHeight="1"/>
    <row r="276" s="7" customFormat="1" ht="13.5" customHeight="1"/>
    <row r="277" s="7" customFormat="1" ht="13.5" customHeight="1"/>
    <row r="278" s="7" customFormat="1" ht="13.5" customHeight="1"/>
    <row r="279" s="7" customFormat="1" ht="13.5" customHeight="1"/>
    <row r="280" s="7" customFormat="1" ht="13.5" customHeight="1"/>
    <row r="281" s="7" customFormat="1" ht="13.5" customHeight="1"/>
    <row r="282" s="7" customFormat="1" ht="13.5" customHeight="1"/>
    <row r="283" s="7" customFormat="1" ht="13.5" customHeight="1"/>
    <row r="284" s="7" customFormat="1" ht="13.5" customHeight="1"/>
    <row r="285" s="7" customFormat="1" ht="13.5" customHeight="1"/>
    <row r="286" s="7" customFormat="1" ht="13.5" customHeight="1"/>
    <row r="287" s="7" customFormat="1" ht="13.5" customHeight="1"/>
    <row r="288" s="7" customFormat="1" ht="13.5" customHeight="1"/>
    <row r="289" s="7" customFormat="1" ht="13.5" customHeight="1"/>
    <row r="290" s="7" customFormat="1" ht="13.5" customHeight="1"/>
    <row r="291" s="7" customFormat="1" ht="13.5" customHeight="1"/>
    <row r="292" s="7" customFormat="1" ht="13.5" customHeight="1"/>
    <row r="293" s="7" customFormat="1" ht="13.5" customHeight="1"/>
    <row r="294" s="7" customFormat="1" ht="13.5" customHeight="1"/>
    <row r="295" s="7" customFormat="1" ht="13.5" customHeight="1"/>
    <row r="296" s="7" customFormat="1" ht="13.5" customHeight="1"/>
    <row r="297" s="7" customFormat="1" ht="13.5" customHeight="1"/>
    <row r="298" s="7" customFormat="1" ht="13.5" customHeight="1"/>
    <row r="299" s="7" customFormat="1" ht="13.5" customHeight="1"/>
    <row r="300" s="7" customFormat="1" ht="13.5" customHeight="1"/>
    <row r="301" s="7" customFormat="1" ht="13.5" customHeight="1"/>
    <row r="302" s="7" customFormat="1" ht="13.5" customHeight="1"/>
    <row r="303" s="7" customFormat="1" ht="13.5" customHeight="1"/>
    <row r="304" s="7" customFormat="1" ht="13.5" customHeight="1"/>
    <row r="305" s="7" customFormat="1" ht="13.5" customHeight="1"/>
    <row r="306" s="7" customFormat="1" ht="13.5" customHeight="1"/>
    <row r="307" s="7" customFormat="1" ht="13.5" customHeight="1"/>
    <row r="308" s="7" customFormat="1" ht="13.5" customHeight="1"/>
    <row r="309" s="7" customFormat="1" ht="13.5" customHeight="1"/>
    <row r="310" s="7" customFormat="1" ht="13.5" customHeight="1"/>
    <row r="311" s="7" customFormat="1" ht="13.5" customHeight="1"/>
    <row r="312" s="7" customFormat="1" ht="13.5" customHeight="1"/>
    <row r="313" s="7" customFormat="1" ht="13.5" customHeight="1"/>
    <row r="314" s="7" customFormat="1" ht="13.5" customHeight="1"/>
    <row r="315" s="7" customFormat="1" ht="13.5" customHeight="1"/>
    <row r="316" s="7" customFormat="1" ht="13.5" customHeight="1"/>
    <row r="317" s="7" customFormat="1" ht="13.5" customHeight="1"/>
    <row r="318" s="7" customFormat="1" ht="13.5" customHeight="1"/>
    <row r="319" s="7" customFormat="1" ht="13.5" customHeight="1"/>
    <row r="320" s="7" customFormat="1" ht="13.5" customHeight="1"/>
    <row r="321" s="7" customFormat="1" ht="13.5" customHeight="1"/>
    <row r="322" s="7" customFormat="1" ht="13.5" customHeight="1"/>
    <row r="323" s="7" customFormat="1" ht="13.5" customHeight="1"/>
    <row r="324" s="7" customFormat="1" ht="13.5" customHeight="1"/>
    <row r="325" s="7" customFormat="1" ht="13.5" customHeight="1"/>
    <row r="326" s="7" customFormat="1" ht="13.5" customHeight="1"/>
    <row r="327" s="7" customFormat="1" ht="13.5" customHeight="1"/>
    <row r="328" s="7" customFormat="1" ht="13.5" customHeight="1"/>
    <row r="329" s="7" customFormat="1" ht="13.5" customHeight="1"/>
    <row r="330" s="7" customFormat="1" ht="13.5" customHeight="1"/>
    <row r="331" s="7" customFormat="1" ht="13.5" customHeight="1"/>
    <row r="332" s="7" customFormat="1" ht="13.5" customHeight="1"/>
    <row r="333" s="7" customFormat="1" ht="13.5" customHeight="1"/>
    <row r="334" s="7" customFormat="1" ht="13.5" customHeight="1"/>
    <row r="335" s="7" customFormat="1" ht="13.5" customHeight="1"/>
    <row r="336" s="7" customFormat="1" ht="13.5" customHeight="1"/>
    <row r="337" s="7" customFormat="1" ht="13.5" customHeight="1"/>
    <row r="338" s="7" customFormat="1" ht="13.5" customHeight="1"/>
    <row r="339" s="7" customFormat="1" ht="13.5" customHeight="1"/>
    <row r="340" s="7" customFormat="1" ht="13.5" customHeight="1"/>
    <row r="341" s="7" customFormat="1" ht="13.5" customHeight="1"/>
    <row r="342" s="7" customFormat="1" ht="13.5" customHeight="1"/>
    <row r="343" s="7" customFormat="1" ht="13.5" customHeight="1"/>
    <row r="344" s="7" customFormat="1" ht="13.5" customHeight="1"/>
    <row r="345" s="7" customFormat="1" ht="13.5" customHeight="1"/>
    <row r="346" s="7" customFormat="1" ht="13.5" customHeight="1"/>
    <row r="347" s="7" customFormat="1" ht="13.5" customHeight="1"/>
    <row r="348" s="7" customFormat="1" ht="13.5" customHeight="1"/>
    <row r="349" s="7" customFormat="1" ht="13.5" customHeight="1"/>
    <row r="350" s="7" customFormat="1" ht="13.5" customHeight="1"/>
    <row r="351" s="7" customFormat="1" ht="13.5" customHeight="1"/>
    <row r="352" s="7" customFormat="1" ht="13.5" customHeight="1"/>
    <row r="353" s="7" customFormat="1" ht="13.5" customHeight="1"/>
    <row r="354" s="7" customFormat="1" ht="13.5" customHeight="1"/>
    <row r="355" s="7" customFormat="1" ht="13.5" customHeight="1"/>
    <row r="356" s="7" customFormat="1" ht="13.5" customHeight="1"/>
    <row r="357" s="7" customFormat="1" ht="13.5" customHeight="1"/>
    <row r="358" s="7" customFormat="1" ht="13.5" customHeight="1"/>
    <row r="359" s="7" customFormat="1" ht="13.5" customHeight="1"/>
    <row r="360" s="7" customFormat="1" ht="13.5" customHeight="1"/>
    <row r="361" s="7" customFormat="1" ht="13.5" customHeight="1"/>
    <row r="362" s="7" customFormat="1" ht="13.5" customHeight="1"/>
    <row r="363" s="7" customFormat="1" ht="13.5" customHeight="1"/>
    <row r="364" s="7" customFormat="1" ht="13.5" customHeight="1"/>
    <row r="365" s="7" customFormat="1" ht="13.5" customHeight="1"/>
    <row r="366" s="7" customFormat="1" ht="13.5" customHeight="1"/>
    <row r="367" s="7" customFormat="1" ht="13.5" customHeight="1"/>
    <row r="368" s="7" customFormat="1" ht="13.5" customHeight="1"/>
    <row r="369" s="7" customFormat="1" ht="13.5" customHeight="1"/>
    <row r="370" s="7" customFormat="1" ht="13.5" customHeight="1"/>
    <row r="371" s="7" customFormat="1" ht="13.5" customHeight="1"/>
    <row r="372" s="7" customFormat="1" ht="13.5" customHeight="1"/>
    <row r="373" s="7" customFormat="1" ht="13.5" customHeight="1"/>
    <row r="374" s="7" customFormat="1" ht="13.5" customHeight="1"/>
    <row r="375" s="7" customFormat="1" ht="13.5" customHeight="1"/>
    <row r="376" s="7" customFormat="1" ht="13.5" customHeight="1"/>
    <row r="377" s="7" customFormat="1" ht="13.5" customHeight="1"/>
    <row r="378" s="7" customFormat="1" ht="13.5" customHeight="1"/>
    <row r="379" s="7" customFormat="1" ht="13.5" customHeight="1"/>
    <row r="380" s="7" customFormat="1" ht="13.5" customHeight="1"/>
    <row r="381" s="7" customFormat="1" ht="13.5" customHeight="1"/>
    <row r="382" s="7" customFormat="1" ht="13.5" customHeight="1"/>
    <row r="383" s="7" customFormat="1" ht="13.5" customHeight="1"/>
    <row r="384" s="7" customFormat="1" ht="13.5" customHeight="1"/>
    <row r="385" s="7" customFormat="1" ht="13.5" customHeight="1"/>
    <row r="386" s="7" customFormat="1" ht="13.5" customHeight="1"/>
    <row r="387" s="7" customFormat="1" ht="13.5" customHeight="1"/>
    <row r="388" s="7" customFormat="1" ht="13.5" customHeight="1"/>
    <row r="389" s="7" customFormat="1" ht="13.5" customHeight="1"/>
    <row r="390" s="7" customFormat="1" ht="13.5" customHeight="1"/>
    <row r="391" s="7" customFormat="1" ht="13.5" customHeight="1"/>
    <row r="392" s="7" customFormat="1" ht="13.5" customHeight="1"/>
    <row r="393" s="7" customFormat="1" ht="13.5" customHeight="1"/>
    <row r="394" s="7" customFormat="1" ht="13.5" customHeight="1"/>
    <row r="395" s="7" customFormat="1" ht="13.5" customHeight="1"/>
    <row r="396" s="7" customFormat="1" ht="13.5" customHeight="1"/>
    <row r="397" s="7" customFormat="1" ht="13.5" customHeight="1"/>
    <row r="398" s="7" customFormat="1" ht="13.5" customHeight="1"/>
    <row r="399" s="7" customFormat="1" ht="13.5" customHeight="1"/>
    <row r="400" s="7" customFormat="1" ht="13.5" customHeight="1"/>
    <row r="401" s="7" customFormat="1" ht="13.5" customHeight="1"/>
    <row r="402" s="7" customFormat="1" ht="13.5" customHeight="1"/>
    <row r="403" s="7" customFormat="1" ht="13.5" customHeight="1"/>
    <row r="404" s="7" customFormat="1" ht="13.5" customHeight="1"/>
    <row r="405" s="7" customFormat="1" ht="13.5" customHeight="1"/>
    <row r="406" s="7" customFormat="1" ht="13.5" customHeight="1"/>
    <row r="407" s="7" customFormat="1" ht="13.5" customHeight="1"/>
    <row r="408" s="7" customFormat="1" ht="13.5" customHeight="1"/>
    <row r="409" s="7" customFormat="1" ht="13.5" customHeight="1"/>
    <row r="410" s="7" customFormat="1" ht="13.5" customHeight="1"/>
    <row r="411" s="7" customFormat="1" ht="13.5" customHeight="1"/>
    <row r="412" s="7" customFormat="1" ht="13.5" customHeight="1"/>
    <row r="413" s="7" customFormat="1" ht="13.5" customHeight="1"/>
    <row r="414" s="7" customFormat="1" ht="13.5" customHeight="1"/>
    <row r="415" s="7" customFormat="1" ht="13.5" customHeight="1"/>
    <row r="416" s="7" customFormat="1" ht="13.5" customHeight="1"/>
    <row r="417" s="7" customFormat="1" ht="13.5" customHeight="1"/>
    <row r="418" s="7" customFormat="1" ht="13.5" customHeight="1"/>
    <row r="419" s="7" customFormat="1" ht="13.5" customHeight="1"/>
    <row r="420" s="7" customFormat="1" ht="13.5" customHeight="1"/>
    <row r="421" s="7" customFormat="1" ht="13.5" customHeight="1"/>
    <row r="422" s="7" customFormat="1" ht="13.5" customHeight="1"/>
    <row r="423" s="7" customFormat="1" ht="13.5" customHeight="1"/>
    <row r="424" s="7" customFormat="1" ht="13.5" customHeight="1"/>
    <row r="425" s="7" customFormat="1" ht="13.5" customHeight="1"/>
    <row r="426" s="7" customFormat="1" ht="13.5" customHeight="1"/>
    <row r="427" s="7" customFormat="1" ht="13.5" customHeight="1"/>
    <row r="428" s="7" customFormat="1" ht="13.5" customHeight="1"/>
    <row r="429" s="7" customFormat="1" ht="13.5" customHeight="1"/>
    <row r="430" s="7" customFormat="1" ht="13.5" customHeight="1"/>
    <row r="431" s="7" customFormat="1" ht="13.5" customHeight="1"/>
    <row r="432" s="7" customFormat="1" ht="13.5" customHeight="1"/>
    <row r="433" s="7" customFormat="1" ht="13.5" customHeight="1"/>
    <row r="434" s="7" customFormat="1" ht="13.5" customHeight="1"/>
    <row r="435" s="7" customFormat="1" ht="13.5" customHeight="1"/>
    <row r="436" s="7" customFormat="1" ht="13.5" customHeight="1"/>
    <row r="437" s="7" customFormat="1" ht="13.5" customHeight="1"/>
    <row r="438" s="7" customFormat="1" ht="13.5" customHeight="1"/>
    <row r="439" s="7" customFormat="1" ht="13.5" customHeight="1"/>
    <row r="440" s="7" customFormat="1" ht="13.5" customHeight="1"/>
    <row r="441" s="7" customFormat="1" ht="13.5" customHeight="1"/>
    <row r="442" s="7" customFormat="1" ht="13.5" customHeight="1"/>
    <row r="443" s="7" customFormat="1" ht="13.5" customHeight="1"/>
    <row r="444" s="7" customFormat="1" ht="13.5" customHeight="1"/>
    <row r="445" s="7" customFormat="1" ht="13.5" customHeight="1"/>
    <row r="446" s="7" customFormat="1" ht="13.5" customHeight="1"/>
    <row r="447" s="7" customFormat="1" ht="13.5" customHeight="1"/>
    <row r="448" s="7" customFormat="1" ht="13.5" customHeight="1"/>
    <row r="449" s="7" customFormat="1" ht="13.5" customHeight="1"/>
    <row r="450" s="7" customFormat="1" ht="13.5" customHeight="1"/>
    <row r="451" s="7" customFormat="1" ht="13.5" customHeight="1"/>
    <row r="452" s="7" customFormat="1" ht="13.5" customHeight="1"/>
    <row r="453" s="7" customFormat="1" ht="13.5" customHeight="1"/>
    <row r="454" s="7" customFormat="1" ht="13.5" customHeight="1"/>
    <row r="455" s="7" customFormat="1" ht="13.5" customHeight="1"/>
    <row r="456" s="7" customFormat="1" ht="13.5" customHeight="1"/>
    <row r="457" s="7" customFormat="1" ht="13.5" customHeight="1"/>
    <row r="458" s="7" customFormat="1" ht="13.5" customHeight="1"/>
    <row r="459" s="7" customFormat="1" ht="13.5" customHeight="1"/>
    <row r="460" s="7" customFormat="1" ht="13.5" customHeight="1"/>
    <row r="461" s="7" customFormat="1" ht="13.5" customHeight="1"/>
    <row r="462" s="7" customFormat="1" ht="13.5" customHeight="1"/>
    <row r="463" s="7" customFormat="1" ht="13.5" customHeight="1"/>
    <row r="464" s="7" customFormat="1" ht="13.5" customHeight="1"/>
    <row r="465" s="7" customFormat="1" ht="13.5" customHeight="1"/>
    <row r="466" s="7" customFormat="1" ht="13.5" customHeight="1"/>
    <row r="467" s="7" customFormat="1" ht="13.5" customHeight="1"/>
    <row r="468" s="7" customFormat="1" ht="13.5" customHeight="1"/>
    <row r="469" s="7" customFormat="1" ht="13.5" customHeight="1"/>
    <row r="470" s="7" customFormat="1" ht="13.5" customHeight="1"/>
    <row r="471" s="7" customFormat="1" ht="13.5" customHeight="1"/>
    <row r="472" s="7" customFormat="1" ht="13.5" customHeight="1"/>
    <row r="473" s="7" customFormat="1" ht="13.5" customHeight="1"/>
    <row r="474" s="7" customFormat="1" ht="13.5" customHeight="1"/>
    <row r="475" s="7" customFormat="1" ht="13.5" customHeight="1"/>
    <row r="476" s="7" customFormat="1" ht="13.5" customHeight="1"/>
    <row r="477" s="7" customFormat="1" ht="13.5" customHeight="1"/>
    <row r="478" s="7" customFormat="1" ht="13.5" customHeight="1"/>
    <row r="479" s="7" customFormat="1" ht="13.5" customHeight="1"/>
    <row r="480" s="7" customFormat="1" ht="13.5" customHeight="1"/>
    <row r="481" s="7" customFormat="1" ht="13.5" customHeight="1"/>
    <row r="482" s="7" customFormat="1" ht="13.5" customHeight="1"/>
    <row r="483" s="7" customFormat="1" ht="13.5" customHeight="1"/>
    <row r="484" s="7" customFormat="1" ht="13.5" customHeight="1"/>
    <row r="485" s="7" customFormat="1" ht="13.5" customHeight="1"/>
    <row r="486" s="7" customFormat="1" ht="13.5" customHeight="1"/>
    <row r="487" s="7" customFormat="1" ht="13.5" customHeight="1"/>
    <row r="488" s="7" customFormat="1" ht="13.5" customHeight="1"/>
    <row r="489" s="7" customFormat="1" ht="13.5" customHeight="1"/>
    <row r="490" s="7" customFormat="1" ht="13.5" customHeight="1"/>
    <row r="491" s="7" customFormat="1" ht="13.5" customHeight="1"/>
    <row r="492" s="7" customFormat="1" ht="13.5" customHeight="1"/>
    <row r="493" s="7" customFormat="1" ht="13.5" customHeight="1"/>
    <row r="494" s="7" customFormat="1" ht="13.5" customHeight="1"/>
    <row r="495" s="7" customFormat="1" ht="13.5" customHeight="1"/>
    <row r="496" s="7" customFormat="1" ht="13.5" customHeight="1"/>
    <row r="497" s="7" customFormat="1" ht="13.5" customHeight="1"/>
    <row r="498" s="7" customFormat="1" ht="13.5" customHeight="1"/>
    <row r="499" s="7" customFormat="1" ht="13.5" customHeight="1"/>
    <row r="500" s="7" customFormat="1" ht="13.5" customHeight="1"/>
    <row r="501" s="7" customFormat="1" ht="13.5" customHeight="1"/>
    <row r="502" s="7" customFormat="1" ht="13.5" customHeight="1"/>
    <row r="503" s="7" customFormat="1" ht="13.5" customHeight="1"/>
    <row r="504" s="7" customFormat="1" ht="13.5" customHeight="1"/>
    <row r="505" s="7" customFormat="1" ht="13.5" customHeight="1"/>
    <row r="506" s="7" customFormat="1" ht="13.5" customHeight="1"/>
    <row r="507" s="7" customFormat="1" ht="13.5" customHeight="1"/>
    <row r="508" s="7" customFormat="1" ht="13.5" customHeight="1"/>
    <row r="509" s="7" customFormat="1" ht="13.5" customHeight="1"/>
    <row r="510" s="7" customFormat="1" ht="13.5" customHeight="1"/>
    <row r="511" s="7" customFormat="1" ht="13.5" customHeight="1"/>
    <row r="512" s="7" customFormat="1" ht="13.5" customHeight="1"/>
    <row r="513" s="7" customFormat="1" ht="13.5" customHeight="1"/>
    <row r="514" s="7" customFormat="1" ht="13.5" customHeight="1"/>
    <row r="515" s="7" customFormat="1" ht="13.5" customHeight="1"/>
    <row r="516" s="7" customFormat="1" ht="13.5" customHeight="1"/>
    <row r="517" s="7" customFormat="1" ht="13.5" customHeight="1"/>
    <row r="518" s="7" customFormat="1" ht="13.5" customHeight="1"/>
    <row r="519" s="7" customFormat="1" ht="13.5" customHeight="1"/>
    <row r="520" s="7" customFormat="1" ht="13.5" customHeight="1"/>
    <row r="521" s="7" customFormat="1" ht="13.5" customHeight="1"/>
    <row r="522" s="7" customFormat="1" ht="13.5" customHeight="1"/>
    <row r="523" s="7" customFormat="1" ht="13.5" customHeight="1"/>
    <row r="524" s="7" customFormat="1" ht="13.5" customHeight="1"/>
    <row r="525" s="7" customFormat="1" ht="13.5" customHeight="1"/>
    <row r="526" s="7" customFormat="1" ht="13.5" customHeight="1"/>
    <row r="527" s="7" customFormat="1" ht="13.5" customHeight="1"/>
    <row r="528" s="7" customFormat="1" ht="13.5" customHeight="1"/>
    <row r="529" s="7" customFormat="1" ht="13.5" customHeight="1"/>
    <row r="530" s="7" customFormat="1" ht="13.5" customHeight="1"/>
    <row r="531" s="7" customFormat="1" ht="13.5" customHeight="1"/>
    <row r="532" s="7" customFormat="1" ht="13.5" customHeight="1"/>
    <row r="533" s="7" customFormat="1" ht="13.5" customHeight="1"/>
    <row r="534" s="7" customFormat="1" ht="13.5" customHeight="1"/>
    <row r="535" s="7" customFormat="1" ht="13.5" customHeight="1"/>
    <row r="536" s="7" customFormat="1" ht="13.5" customHeight="1"/>
    <row r="537" s="7" customFormat="1" ht="13.5" customHeight="1"/>
    <row r="538" s="7" customFormat="1" ht="13.5" customHeight="1"/>
    <row r="539" s="7" customFormat="1" ht="13.5" customHeight="1"/>
    <row r="540" s="7" customFormat="1" ht="13.5" customHeight="1"/>
    <row r="541" s="7" customFormat="1" ht="13.5" customHeight="1"/>
    <row r="542" s="7" customFormat="1" ht="13.5" customHeight="1"/>
    <row r="543" s="7" customFormat="1" ht="13.5" customHeight="1"/>
    <row r="544" s="7" customFormat="1" ht="13.5" customHeight="1"/>
    <row r="545" s="7" customFormat="1" ht="13.5" customHeight="1"/>
    <row r="546" s="7" customFormat="1" ht="13.5" customHeight="1"/>
    <row r="547" s="7" customFormat="1" ht="13.5" customHeight="1"/>
    <row r="548" s="7" customFormat="1" ht="13.5" customHeight="1"/>
    <row r="549" s="7" customFormat="1" ht="13.5" customHeight="1"/>
    <row r="550" s="7" customFormat="1" ht="13.5" customHeight="1"/>
    <row r="551" s="7" customFormat="1" ht="13.5" customHeight="1"/>
    <row r="552" s="7" customFormat="1" ht="13.5" customHeight="1"/>
    <row r="553" s="7" customFormat="1" ht="13.5" customHeight="1"/>
    <row r="554" s="7" customFormat="1" ht="13.5" customHeight="1"/>
    <row r="555" s="7" customFormat="1" ht="13.5" customHeight="1"/>
    <row r="556" s="7" customFormat="1" ht="13.5" customHeight="1"/>
    <row r="557" s="7" customFormat="1" ht="13.5" customHeight="1"/>
    <row r="558" s="7" customFormat="1" ht="13.5" customHeight="1"/>
    <row r="559" s="7" customFormat="1" ht="13.5" customHeight="1"/>
    <row r="560" s="7" customFormat="1" ht="13.5" customHeight="1"/>
    <row r="561" s="7" customFormat="1" ht="13.5" customHeight="1"/>
    <row r="562" s="7" customFormat="1" ht="13.5" customHeight="1"/>
    <row r="563" s="7" customFormat="1" ht="13.5" customHeight="1"/>
    <row r="564" s="7" customFormat="1" ht="13.5" customHeight="1"/>
    <row r="565" s="7" customFormat="1" ht="13.5" customHeight="1"/>
    <row r="566" s="7" customFormat="1" ht="13.5" customHeight="1"/>
    <row r="567" s="7" customFormat="1" ht="13.5" customHeight="1"/>
    <row r="568" s="7" customFormat="1" ht="13.5" customHeight="1"/>
    <row r="569" s="7" customFormat="1" ht="13.5" customHeight="1"/>
    <row r="570" s="7" customFormat="1" ht="13.5" customHeight="1"/>
    <row r="571" s="7" customFormat="1" ht="13.5" customHeight="1"/>
    <row r="572" s="7" customFormat="1" ht="13.5" customHeight="1"/>
    <row r="573" s="7" customFormat="1" ht="13.5" customHeight="1"/>
    <row r="574" s="7" customFormat="1" ht="13.5" customHeight="1"/>
    <row r="575" s="7" customFormat="1" ht="13.5" customHeight="1"/>
    <row r="576" s="7" customFormat="1" ht="13.5" customHeight="1"/>
    <row r="577" s="7" customFormat="1" ht="13.5" customHeight="1"/>
    <row r="578" s="7" customFormat="1" ht="13.5" customHeight="1"/>
    <row r="579" s="7" customFormat="1" ht="13.5" customHeight="1"/>
    <row r="580" s="7" customFormat="1" ht="13.5" customHeight="1"/>
    <row r="581" s="7" customFormat="1" ht="13.5" customHeight="1"/>
    <row r="582" s="7" customFormat="1" ht="13.5" customHeight="1"/>
    <row r="583" s="7" customFormat="1" ht="13.5" customHeight="1"/>
    <row r="584" s="7" customFormat="1" ht="13.5" customHeight="1"/>
    <row r="585" s="7" customFormat="1" ht="13.5" customHeight="1"/>
    <row r="586" s="7" customFormat="1" ht="13.5" customHeight="1"/>
    <row r="587" s="7" customFormat="1" ht="13.5" customHeight="1"/>
    <row r="588" s="7" customFormat="1" ht="13.5" customHeight="1"/>
    <row r="589" s="7" customFormat="1" ht="13.5" customHeight="1"/>
    <row r="590" s="7" customFormat="1" ht="13.5" customHeight="1"/>
    <row r="591" s="7" customFormat="1" ht="13.5" customHeight="1"/>
    <row r="592" s="7" customFormat="1" ht="13.5" customHeight="1"/>
    <row r="593" s="7" customFormat="1" ht="13.5" customHeight="1"/>
    <row r="594" s="7" customFormat="1" ht="13.5" customHeight="1"/>
    <row r="595" s="7" customFormat="1" ht="13.5" customHeight="1"/>
    <row r="596" s="7" customFormat="1" ht="13.5" customHeight="1"/>
    <row r="597" s="7" customFormat="1" ht="13.5" customHeight="1"/>
    <row r="598" s="7" customFormat="1" ht="13.5" customHeight="1"/>
    <row r="599" s="7" customFormat="1" ht="13.5" customHeight="1"/>
    <row r="600" s="7" customFormat="1" ht="13.5" customHeight="1"/>
    <row r="601" s="7" customFormat="1" ht="13.5" customHeight="1"/>
    <row r="602" s="7" customFormat="1" ht="13.5" customHeight="1"/>
    <row r="603" s="7" customFormat="1" ht="13.5" customHeight="1"/>
    <row r="604" s="7" customFormat="1" ht="13.5" customHeight="1"/>
    <row r="605" s="7" customFormat="1" ht="13.5" customHeight="1"/>
    <row r="606" s="7" customFormat="1" ht="13.5" customHeight="1"/>
    <row r="607" s="7" customFormat="1" ht="13.5" customHeight="1"/>
    <row r="608" s="7" customFormat="1" ht="13.5" customHeight="1"/>
    <row r="609" s="7" customFormat="1" ht="13.5" customHeight="1"/>
    <row r="610" s="7" customFormat="1" ht="13.5" customHeight="1"/>
    <row r="611" s="7" customFormat="1" ht="13.5" customHeight="1"/>
    <row r="612" s="7" customFormat="1" ht="13.5" customHeight="1"/>
    <row r="613" s="7" customFormat="1" ht="13.5" customHeight="1"/>
    <row r="614" s="7" customFormat="1" ht="13.5" customHeight="1"/>
    <row r="615" s="7" customFormat="1" ht="13.5" customHeight="1"/>
    <row r="616" s="7" customFormat="1" ht="13.5" customHeight="1"/>
    <row r="617" s="7" customFormat="1" ht="13.5" customHeight="1"/>
    <row r="618" s="7" customFormat="1" ht="13.5" customHeight="1"/>
    <row r="619" s="7" customFormat="1" ht="13.5" customHeight="1"/>
    <row r="620" s="7" customFormat="1" ht="13.5" customHeight="1"/>
    <row r="621" s="7" customFormat="1" ht="13.5" customHeight="1"/>
    <row r="622" s="7" customFormat="1" ht="13.5" customHeight="1"/>
    <row r="623" s="7" customFormat="1" ht="13.5" customHeight="1"/>
    <row r="624" s="7" customFormat="1" ht="13.5" customHeight="1"/>
    <row r="625" s="7" customFormat="1" ht="13.5" customHeight="1"/>
    <row r="626" s="7" customFormat="1" ht="13.5" customHeight="1"/>
    <row r="627" s="7" customFormat="1" ht="13.5" customHeight="1"/>
    <row r="628" s="7" customFormat="1" ht="13.5" customHeight="1"/>
    <row r="629" s="7" customFormat="1" ht="13.5" customHeight="1"/>
    <row r="630" s="7" customFormat="1" ht="13.5" customHeight="1"/>
    <row r="631" s="7" customFormat="1" ht="13.5" customHeight="1"/>
    <row r="632" s="7" customFormat="1" ht="13.5" customHeight="1"/>
    <row r="633" s="7" customFormat="1" ht="13.5" customHeight="1"/>
    <row r="634" s="7" customFormat="1" ht="13.5" customHeight="1"/>
    <row r="635" s="7" customFormat="1" ht="13.5" customHeight="1"/>
    <row r="636" s="7" customFormat="1" ht="13.5" customHeight="1"/>
    <row r="637" s="7" customFormat="1" ht="13.5" customHeight="1"/>
    <row r="638" s="7" customFormat="1" ht="13.5" customHeight="1"/>
    <row r="639" s="7" customFormat="1" ht="13.5" customHeight="1"/>
    <row r="640" s="7" customFormat="1" ht="13.5" customHeight="1"/>
    <row r="641" s="7" customFormat="1" ht="13.5" customHeight="1"/>
    <row r="642" s="7" customFormat="1" ht="13.5" customHeight="1"/>
    <row r="643" s="7" customFormat="1" ht="13.5" customHeight="1"/>
    <row r="644" s="7" customFormat="1" ht="13.5" customHeight="1"/>
    <row r="645" s="7" customFormat="1" ht="13.5" customHeight="1"/>
    <row r="646" s="7" customFormat="1" ht="13.5" customHeight="1"/>
    <row r="647" s="7" customFormat="1" ht="13.5" customHeight="1"/>
    <row r="648" s="7" customFormat="1" ht="13.5" customHeight="1"/>
    <row r="649" s="7" customFormat="1" ht="13.5" customHeight="1"/>
    <row r="650" s="7" customFormat="1" ht="13.5" customHeight="1"/>
    <row r="651" s="7" customFormat="1" ht="13.5" customHeight="1"/>
    <row r="652" s="7" customFormat="1" ht="13.5" customHeight="1"/>
    <row r="653" s="7" customFormat="1" ht="13.5" customHeight="1"/>
    <row r="654" s="7" customFormat="1" ht="13.5" customHeight="1"/>
    <row r="655" s="7" customFormat="1" ht="13.5" customHeight="1"/>
    <row r="656" s="7" customFormat="1" ht="13.5" customHeight="1"/>
    <row r="657" s="7" customFormat="1" ht="13.5" customHeight="1"/>
    <row r="658" s="7" customFormat="1" ht="13.5" customHeight="1"/>
    <row r="659" s="7" customFormat="1" ht="13.5" customHeight="1"/>
    <row r="660" s="7" customFormat="1" ht="13.5" customHeight="1"/>
    <row r="661" s="7" customFormat="1" ht="13.5" customHeight="1"/>
    <row r="662" s="7" customFormat="1" ht="13.5" customHeight="1"/>
    <row r="663" s="7" customFormat="1" ht="13.5" customHeight="1"/>
    <row r="664" s="7" customFormat="1" ht="13.5" customHeight="1"/>
    <row r="665" s="7" customFormat="1" ht="13.5" customHeight="1"/>
    <row r="666" s="7" customFormat="1" ht="13.5" customHeight="1"/>
    <row r="667" s="7" customFormat="1" ht="13.5" customHeight="1"/>
    <row r="668" s="7" customFormat="1" ht="13.5" customHeight="1"/>
    <row r="669" s="7" customFormat="1" ht="13.5" customHeight="1"/>
    <row r="670" s="7" customFormat="1" ht="13.5" customHeight="1"/>
    <row r="671" s="7" customFormat="1" ht="13.5" customHeight="1"/>
    <row r="672" s="7" customFormat="1" ht="13.5" customHeight="1"/>
    <row r="673" s="7" customFormat="1" ht="13.5" customHeight="1"/>
    <row r="674" s="7" customFormat="1" ht="13.5" customHeight="1"/>
    <row r="675" s="7" customFormat="1" ht="13.5" customHeight="1"/>
    <row r="676" s="7" customFormat="1" ht="13.5" customHeight="1"/>
    <row r="677" s="7" customFormat="1" ht="13.5" customHeight="1"/>
    <row r="678" s="7" customFormat="1" ht="13.5" customHeight="1"/>
    <row r="679" s="7" customFormat="1" ht="13.5" customHeight="1"/>
    <row r="680" s="7" customFormat="1" ht="13.5" customHeight="1"/>
    <row r="681" s="7" customFormat="1" ht="13.5" customHeight="1"/>
    <row r="682" s="7" customFormat="1" ht="13.5" customHeight="1"/>
    <row r="683" s="7" customFormat="1" ht="13.5" customHeight="1"/>
    <row r="684" s="7" customFormat="1" ht="13.5" customHeight="1"/>
    <row r="685" s="7" customFormat="1" ht="13.5" customHeight="1"/>
    <row r="686" s="7" customFormat="1" ht="13.5" customHeight="1"/>
    <row r="687" s="7" customFormat="1" ht="13.5" customHeight="1"/>
    <row r="688" s="7" customFormat="1" ht="13.5" customHeight="1"/>
    <row r="689" s="7" customFormat="1" ht="13.5" customHeight="1"/>
    <row r="690" s="7" customFormat="1" ht="13.5" customHeight="1"/>
    <row r="691" s="7" customFormat="1" ht="13.5" customHeight="1"/>
    <row r="692" s="7" customFormat="1" ht="13.5" customHeight="1"/>
    <row r="693" s="7" customFormat="1" ht="13.5" customHeight="1"/>
    <row r="694" s="7" customFormat="1" ht="13.5" customHeight="1"/>
    <row r="695" s="7" customFormat="1" ht="13.5" customHeight="1"/>
    <row r="696" s="7" customFormat="1" ht="13.5" customHeight="1"/>
    <row r="697" s="7" customFormat="1" ht="13.5" customHeight="1"/>
    <row r="698" s="7" customFormat="1" ht="13.5" customHeight="1"/>
    <row r="699" s="7" customFormat="1" ht="13.5" customHeight="1"/>
    <row r="700" s="7" customFormat="1" ht="13.5" customHeight="1"/>
    <row r="701" s="7" customFormat="1" ht="13.5" customHeight="1"/>
    <row r="702" s="7" customFormat="1" ht="13.5" customHeight="1"/>
    <row r="703" s="7" customFormat="1" ht="13.5" customHeight="1"/>
    <row r="704" s="7" customFormat="1" ht="13.5" customHeight="1"/>
    <row r="705" s="7" customFormat="1" ht="13.5" customHeight="1"/>
    <row r="706" s="7" customFormat="1" ht="13.5" customHeight="1"/>
    <row r="707" s="7" customFormat="1" ht="13.5" customHeight="1"/>
    <row r="708" s="7" customFormat="1" ht="13.5" customHeight="1"/>
    <row r="709" s="7" customFormat="1" ht="13.5" customHeight="1"/>
    <row r="710" s="7" customFormat="1" ht="13.5" customHeight="1"/>
    <row r="711" s="7" customFormat="1" ht="13.5" customHeight="1"/>
    <row r="712" s="7" customFormat="1" ht="13.5" customHeight="1"/>
    <row r="713" s="7" customFormat="1" ht="13.5" customHeight="1"/>
    <row r="714" s="7" customFormat="1" ht="13.5" customHeight="1"/>
    <row r="715" s="7" customFormat="1" ht="13.5" customHeight="1"/>
    <row r="716" s="7" customFormat="1" ht="13.5" customHeight="1"/>
    <row r="717" s="7" customFormat="1" ht="13.5" customHeight="1"/>
    <row r="718" s="7" customFormat="1" ht="13.5" customHeight="1"/>
    <row r="719" s="7" customFormat="1" ht="13.5" customHeight="1"/>
    <row r="720" s="7" customFormat="1" ht="13.5" customHeight="1"/>
    <row r="721" s="7" customFormat="1" ht="13.5" customHeight="1"/>
    <row r="722" s="7" customFormat="1" ht="13.5" customHeight="1"/>
    <row r="723" s="7" customFormat="1" ht="13.5" customHeight="1"/>
    <row r="724" s="7" customFormat="1" ht="13.5" customHeight="1"/>
    <row r="725" s="7" customFormat="1" ht="13.5" customHeight="1"/>
    <row r="726" s="7" customFormat="1" ht="13.5" customHeight="1"/>
    <row r="727" s="7" customFormat="1" ht="13.5" customHeight="1"/>
    <row r="728" s="7" customFormat="1" ht="13.5" customHeight="1"/>
    <row r="729" s="7" customFormat="1" ht="13.5" customHeight="1"/>
    <row r="730" s="7" customFormat="1" ht="13.5" customHeight="1"/>
    <row r="731" s="7" customFormat="1" ht="13.5" customHeight="1"/>
    <row r="732" s="7" customFormat="1" ht="13.5" customHeight="1"/>
    <row r="733" s="7" customFormat="1" ht="13.5" customHeight="1"/>
    <row r="734" s="7" customFormat="1" ht="13.5" customHeight="1"/>
    <row r="735" s="7" customFormat="1" ht="13.5" customHeight="1"/>
    <row r="736" s="7" customFormat="1" ht="13.5" customHeight="1"/>
    <row r="737" s="7" customFormat="1" ht="13.5" customHeight="1"/>
    <row r="738" s="7" customFormat="1" ht="13.5" customHeight="1"/>
    <row r="739" s="7" customFormat="1" ht="13.5" customHeight="1"/>
    <row r="740" s="7" customFormat="1" ht="13.5" customHeight="1"/>
    <row r="741" s="7" customFormat="1" ht="13.5" customHeight="1"/>
    <row r="742" s="7" customFormat="1" ht="13.5" customHeight="1"/>
    <row r="743" s="7" customFormat="1" ht="13.5" customHeight="1"/>
    <row r="744" s="7" customFormat="1" ht="13.5" customHeight="1"/>
    <row r="745" s="7" customFormat="1" ht="13.5" customHeight="1"/>
    <row r="746" s="7" customFormat="1" ht="13.5" customHeight="1"/>
    <row r="747" s="7" customFormat="1" ht="13.5" customHeight="1"/>
    <row r="748" s="7" customFormat="1" ht="13.5" customHeight="1"/>
    <row r="749" s="7" customFormat="1" ht="13.5" customHeight="1"/>
    <row r="750" s="7" customFormat="1" ht="13.5" customHeight="1"/>
    <row r="751" s="7" customFormat="1" ht="13.5" customHeight="1"/>
    <row r="752" s="7" customFormat="1" ht="13.5" customHeight="1"/>
    <row r="753" s="7" customFormat="1" ht="13.5" customHeight="1"/>
    <row r="754" s="7" customFormat="1" ht="13.5" customHeight="1"/>
    <row r="755" s="7" customFormat="1" ht="13.5" customHeight="1"/>
    <row r="756" s="7" customFormat="1" ht="13.5" customHeight="1"/>
    <row r="757" s="7" customFormat="1" ht="13.5" customHeight="1"/>
    <row r="758" s="7" customFormat="1" ht="13.5" customHeight="1"/>
    <row r="759" s="7" customFormat="1" ht="13.5" customHeight="1"/>
    <row r="760" s="7" customFormat="1" ht="13.5" customHeight="1"/>
    <row r="761" s="7" customFormat="1" ht="13.5" customHeight="1"/>
    <row r="762" s="7" customFormat="1" ht="13.5" customHeight="1"/>
    <row r="763" s="7" customFormat="1" ht="13.5" customHeight="1"/>
    <row r="764" s="7" customFormat="1" ht="13.5" customHeight="1"/>
    <row r="765" s="7" customFormat="1" ht="13.5" customHeight="1"/>
    <row r="766" s="7" customFormat="1" ht="13.5" customHeight="1"/>
    <row r="767" s="7" customFormat="1" ht="13.5" customHeight="1"/>
    <row r="768" s="7" customFormat="1" ht="13.5" customHeight="1"/>
    <row r="769" s="7" customFormat="1" ht="13.5" customHeight="1"/>
    <row r="770" s="7" customFormat="1" ht="13.5" customHeight="1"/>
    <row r="771" s="7" customFormat="1" ht="13.5" customHeight="1"/>
    <row r="772" s="7" customFormat="1" ht="13.5" customHeight="1"/>
    <row r="773" s="7" customFormat="1" ht="13.5" customHeight="1"/>
    <row r="774" s="7" customFormat="1" ht="13.5" customHeight="1"/>
    <row r="775" s="7" customFormat="1" ht="13.5" customHeight="1"/>
    <row r="776" s="7" customFormat="1" ht="13.5" customHeight="1"/>
    <row r="777" s="7" customFormat="1" ht="13.5" customHeight="1"/>
    <row r="778" s="7" customFormat="1" ht="13.5" customHeight="1"/>
    <row r="779" s="7" customFormat="1" ht="13.5" customHeight="1"/>
    <row r="780" s="7" customFormat="1" ht="13.5" customHeight="1"/>
    <row r="781" s="7" customFormat="1" ht="13.5" customHeight="1"/>
    <row r="782" s="7" customFormat="1" ht="13.5" customHeight="1"/>
    <row r="783" s="7" customFormat="1" ht="13.5" customHeight="1"/>
    <row r="784" s="7" customFormat="1" ht="13.5" customHeight="1"/>
    <row r="785" s="7" customFormat="1" ht="13.5" customHeight="1"/>
    <row r="786" s="7" customFormat="1" ht="13.5" customHeight="1"/>
    <row r="787" s="7" customFormat="1" ht="13.5" customHeight="1"/>
    <row r="788" s="7" customFormat="1" ht="13.5" customHeight="1"/>
    <row r="789" s="7" customFormat="1" ht="13.5" customHeight="1"/>
    <row r="790" s="7" customFormat="1" ht="13.5" customHeight="1"/>
    <row r="791" s="7" customFormat="1" ht="13.5" customHeight="1"/>
    <row r="792" s="7" customFormat="1" ht="13.5" customHeight="1"/>
    <row r="793" s="7" customFormat="1" ht="13.5" customHeight="1"/>
    <row r="794" s="7" customFormat="1" ht="13.5" customHeight="1"/>
    <row r="795" s="7" customFormat="1" ht="13.5" customHeight="1"/>
    <row r="796" s="7" customFormat="1" ht="13.5" customHeight="1"/>
    <row r="797" s="7" customFormat="1" ht="13.5" customHeight="1"/>
    <row r="798" s="7" customFormat="1" ht="13.5" customHeight="1"/>
    <row r="799" s="7" customFormat="1" ht="13.5" customHeight="1"/>
    <row r="800" s="7" customFormat="1" ht="13.5" customHeight="1"/>
    <row r="801" s="7" customFormat="1" ht="13.5" customHeight="1"/>
    <row r="802" s="7" customFormat="1" ht="13.5" customHeight="1"/>
    <row r="803" s="7" customFormat="1" ht="13.5" customHeight="1"/>
    <row r="804" s="7" customFormat="1" ht="13.5" customHeight="1"/>
    <row r="805" s="7" customFormat="1" ht="13.5" customHeight="1"/>
    <row r="806" s="7" customFormat="1" ht="13.5" customHeight="1"/>
    <row r="807" s="7" customFormat="1" ht="13.5" customHeight="1"/>
    <row r="808" s="7" customFormat="1" ht="13.5" customHeight="1"/>
    <row r="809" s="7" customFormat="1" ht="13.5" customHeight="1"/>
    <row r="810" s="7" customFormat="1" ht="13.5" customHeight="1"/>
    <row r="811" s="7" customFormat="1" ht="13.5" customHeight="1"/>
    <row r="812" s="7" customFormat="1" ht="13.5" customHeight="1"/>
    <row r="813" s="7" customFormat="1" ht="13.5" customHeight="1"/>
    <row r="814" s="7" customFormat="1" ht="13.5" customHeight="1"/>
    <row r="815" s="7" customFormat="1" ht="13.5" customHeight="1"/>
    <row r="816" s="7" customFormat="1" ht="13.5" customHeight="1"/>
    <row r="817" s="7" customFormat="1" ht="13.5" customHeight="1"/>
    <row r="818" s="7" customFormat="1" ht="13.5" customHeight="1"/>
    <row r="819" s="7" customFormat="1" ht="13.5" customHeight="1"/>
    <row r="820" s="7" customFormat="1" ht="13.5" customHeight="1"/>
    <row r="821" s="7" customFormat="1" ht="13.5" customHeight="1"/>
    <row r="822" s="7" customFormat="1" ht="13.5" customHeight="1"/>
    <row r="823" s="7" customFormat="1" ht="13.5" customHeight="1"/>
    <row r="824" s="7" customFormat="1" ht="13.5" customHeight="1"/>
    <row r="825" s="7" customFormat="1" ht="13.5" customHeight="1"/>
    <row r="826" s="7" customFormat="1" ht="13.5" customHeight="1"/>
    <row r="827" s="7" customFormat="1" ht="13.5" customHeight="1"/>
    <row r="828" s="7" customFormat="1" ht="13.5" customHeight="1"/>
    <row r="829" s="7" customFormat="1" ht="13.5" customHeight="1"/>
    <row r="830" s="7" customFormat="1" ht="13.5" customHeight="1"/>
    <row r="831" s="7" customFormat="1" ht="13.5" customHeight="1"/>
    <row r="832" s="7" customFormat="1" ht="13.5" customHeight="1"/>
    <row r="833" s="7" customFormat="1" ht="13.5" customHeight="1"/>
    <row r="834" s="7" customFormat="1" ht="13.5" customHeight="1"/>
    <row r="835" s="7" customFormat="1" ht="13.5" customHeight="1"/>
    <row r="836" s="7" customFormat="1" ht="13.5" customHeight="1"/>
    <row r="837" s="7" customFormat="1" ht="13.5" customHeight="1"/>
    <row r="838" s="7" customFormat="1" ht="13.5" customHeight="1"/>
    <row r="839" s="7" customFormat="1" ht="13.5" customHeight="1"/>
    <row r="840" s="7" customFormat="1" ht="13.5" customHeight="1"/>
    <row r="841" s="7" customFormat="1" ht="13.5" customHeight="1"/>
    <row r="842" s="7" customFormat="1" ht="13.5" customHeight="1"/>
    <row r="843" s="7" customFormat="1" ht="13.5" customHeight="1"/>
    <row r="844" s="7" customFormat="1" ht="13.5" customHeight="1"/>
    <row r="845" s="7" customFormat="1" ht="13.5" customHeight="1"/>
    <row r="846" s="7" customFormat="1" ht="13.5" customHeight="1"/>
    <row r="847" s="7" customFormat="1" ht="13.5" customHeight="1"/>
    <row r="848" s="7" customFormat="1" ht="13.5" customHeight="1"/>
    <row r="849" s="7" customFormat="1" ht="13.5" customHeight="1"/>
    <row r="850" s="7" customFormat="1" ht="13.5" customHeight="1"/>
    <row r="851" s="7" customFormat="1" ht="13.5" customHeight="1"/>
    <row r="852" s="7" customFormat="1" ht="13.5" customHeight="1"/>
    <row r="853" s="7" customFormat="1" ht="13.5" customHeight="1"/>
    <row r="854" s="7" customFormat="1" ht="13.5" customHeight="1"/>
    <row r="855" s="7" customFormat="1" ht="13.5" customHeight="1"/>
    <row r="856" s="7" customFormat="1" ht="13.5" customHeight="1"/>
    <row r="857" s="7" customFormat="1" ht="13.5" customHeight="1"/>
    <row r="858" s="7" customFormat="1" ht="13.5" customHeight="1"/>
    <row r="859" s="7" customFormat="1" ht="13.5" customHeight="1"/>
    <row r="860" s="7" customFormat="1" ht="13.5" customHeight="1"/>
    <row r="861" s="7" customFormat="1" ht="13.5" customHeight="1"/>
    <row r="862" s="7" customFormat="1" ht="13.5" customHeight="1"/>
    <row r="863" s="7" customFormat="1" ht="13.5" customHeight="1"/>
    <row r="864" s="7" customFormat="1" ht="13.5" customHeight="1"/>
    <row r="865" s="7" customFormat="1" ht="13.5" customHeight="1"/>
    <row r="866" s="7" customFormat="1" ht="13.5" customHeight="1"/>
    <row r="867" s="7" customFormat="1" ht="13.5" customHeight="1"/>
    <row r="868" s="7" customFormat="1" ht="13.5" customHeight="1"/>
    <row r="869" s="7" customFormat="1" ht="13.5" customHeight="1"/>
    <row r="870" s="7" customFormat="1" ht="13.5" customHeight="1"/>
    <row r="871" s="7" customFormat="1" ht="13.5" customHeight="1"/>
    <row r="872" s="7" customFormat="1" ht="13.5" customHeight="1"/>
    <row r="873" s="7" customFormat="1" ht="13.5" customHeight="1"/>
    <row r="874" s="7" customFormat="1" ht="13.5" customHeight="1"/>
    <row r="875" s="7" customFormat="1" ht="13.5" customHeight="1"/>
    <row r="876" s="7" customFormat="1" ht="13.5" customHeight="1"/>
    <row r="877" s="7" customFormat="1" ht="13.5" customHeight="1"/>
    <row r="878" s="7" customFormat="1" ht="13.5" customHeight="1"/>
    <row r="879" s="7" customFormat="1" ht="13.5" customHeight="1"/>
    <row r="880" s="7" customFormat="1" ht="13.5" customHeight="1"/>
    <row r="881" s="7" customFormat="1" ht="13.5" customHeight="1"/>
    <row r="882" s="7" customFormat="1" ht="13.5" customHeight="1"/>
    <row r="883" s="7" customFormat="1" ht="13.5" customHeight="1"/>
    <row r="884" s="7" customFormat="1" ht="13.5" customHeight="1"/>
    <row r="885" s="7" customFormat="1" ht="13.5" customHeight="1"/>
    <row r="886" s="7" customFormat="1" ht="13.5" customHeight="1"/>
    <row r="887" s="7" customFormat="1" ht="13.5" customHeight="1"/>
    <row r="888" s="7" customFormat="1" ht="13.5" customHeight="1"/>
    <row r="889" s="7" customFormat="1" ht="13.5" customHeight="1"/>
    <row r="890" s="7" customFormat="1" ht="13.5" customHeight="1"/>
    <row r="891" s="7" customFormat="1" ht="13.5" customHeight="1"/>
    <row r="892" s="7" customFormat="1" ht="13.5" customHeight="1"/>
    <row r="893" s="7" customFormat="1" ht="13.5" customHeight="1"/>
    <row r="894" s="7" customFormat="1" ht="13.5" customHeight="1"/>
    <row r="895" s="7" customFormat="1" ht="13.5" customHeight="1"/>
    <row r="896" s="7" customFormat="1" ht="13.5" customHeight="1"/>
    <row r="897" s="7" customFormat="1" ht="13.5" customHeight="1"/>
    <row r="898" s="7" customFormat="1" ht="13.5" customHeight="1"/>
    <row r="899" s="7" customFormat="1" ht="13.5" customHeight="1"/>
    <row r="900" s="7" customFormat="1" ht="13.5" customHeight="1"/>
    <row r="901" s="7" customFormat="1" ht="13.5" customHeight="1"/>
    <row r="902" s="7" customFormat="1" ht="13.5" customHeight="1"/>
    <row r="903" s="7" customFormat="1" ht="13.5" customHeight="1"/>
    <row r="904" s="7" customFormat="1" ht="13.5" customHeight="1"/>
    <row r="905" s="7" customFormat="1" ht="13.5" customHeight="1"/>
    <row r="906" s="7" customFormat="1" ht="13.5" customHeight="1"/>
    <row r="907" s="7" customFormat="1" ht="13.5" customHeight="1"/>
    <row r="908" s="7" customFormat="1" ht="13.5" customHeight="1"/>
    <row r="909" s="7" customFormat="1" ht="13.5" customHeight="1"/>
    <row r="910" s="7" customFormat="1" ht="13.5" customHeight="1"/>
    <row r="911" s="7" customFormat="1" ht="13.5" customHeight="1"/>
    <row r="912" s="7" customFormat="1" ht="13.5" customHeight="1"/>
    <row r="913" s="7" customFormat="1" ht="13.5" customHeight="1"/>
    <row r="914" s="7" customFormat="1" ht="13.5" customHeight="1"/>
    <row r="915" s="7" customFormat="1" ht="13.5" customHeight="1"/>
    <row r="916" s="7" customFormat="1" ht="13.5" customHeight="1"/>
    <row r="917" s="7" customFormat="1" ht="13.5" customHeight="1"/>
    <row r="918" s="7" customFormat="1" ht="13.5" customHeight="1"/>
    <row r="919" s="7" customFormat="1" ht="13.5" customHeight="1"/>
    <row r="920" s="7" customFormat="1" ht="13.5" customHeight="1"/>
    <row r="921" s="7" customFormat="1" ht="13.5" customHeight="1"/>
    <row r="922" s="7" customFormat="1" ht="13.5" customHeight="1"/>
    <row r="923" s="7" customFormat="1" ht="13.5" customHeight="1"/>
    <row r="924" s="7" customFormat="1" ht="13.5" customHeight="1"/>
    <row r="925" s="7" customFormat="1" ht="13.5" customHeight="1"/>
    <row r="926" s="7" customFormat="1" ht="13.5" customHeight="1"/>
    <row r="927" s="7" customFormat="1" ht="13.5" customHeight="1"/>
    <row r="928" s="7" customFormat="1" ht="13.5" customHeight="1"/>
    <row r="929" s="7" customFormat="1" ht="13.5" customHeight="1"/>
    <row r="930" s="7" customFormat="1" ht="13.5" customHeight="1"/>
    <row r="931" s="7" customFormat="1" ht="13.5" customHeight="1"/>
    <row r="932" s="7" customFormat="1" ht="13.5" customHeight="1"/>
    <row r="933" s="7" customFormat="1" ht="13.5" customHeight="1"/>
    <row r="934" s="7" customFormat="1" ht="13.5" customHeight="1"/>
    <row r="935" s="7" customFormat="1" ht="13.5" customHeight="1"/>
    <row r="936" s="7" customFormat="1" ht="13.5" customHeight="1"/>
    <row r="937" s="7" customFormat="1" ht="13.5" customHeight="1"/>
    <row r="938" s="7" customFormat="1" ht="13.5" customHeight="1"/>
    <row r="939" s="7" customFormat="1" ht="13.5" customHeight="1"/>
    <row r="940" s="7" customFormat="1" ht="13.5" customHeight="1"/>
    <row r="941" s="7" customFormat="1" ht="13.5" customHeight="1"/>
    <row r="942" s="7" customFormat="1" ht="13.5" customHeight="1"/>
    <row r="943" s="7" customFormat="1" ht="13.5" customHeight="1"/>
    <row r="944" s="7" customFormat="1" ht="13.5" customHeight="1"/>
    <row r="945" s="7" customFormat="1" ht="13.5" customHeight="1"/>
    <row r="946" s="7" customFormat="1" ht="13.5" customHeight="1"/>
    <row r="947" s="7" customFormat="1" ht="13.5" customHeight="1"/>
    <row r="948" s="7" customFormat="1" ht="13.5" customHeight="1"/>
    <row r="949" s="7" customFormat="1" ht="13.5" customHeight="1"/>
    <row r="950" s="7" customFormat="1" ht="13.5" customHeight="1"/>
    <row r="951" s="7" customFormat="1" ht="13.5" customHeight="1"/>
    <row r="952" s="7" customFormat="1" ht="13.5" customHeight="1"/>
    <row r="953" s="7" customFormat="1" ht="13.5" customHeight="1"/>
    <row r="954" s="7" customFormat="1" ht="13.5" customHeight="1"/>
    <row r="955" s="7" customFormat="1" ht="13.5" customHeight="1"/>
    <row r="956" s="7" customFormat="1" ht="13.5" customHeight="1"/>
    <row r="957" s="7" customFormat="1" ht="13.5" customHeight="1"/>
    <row r="958" s="7" customFormat="1" ht="13.5" customHeight="1"/>
    <row r="959" s="7" customFormat="1" ht="13.5" customHeight="1"/>
    <row r="960" s="7" customFormat="1" ht="13.5" customHeight="1"/>
    <row r="961" s="7" customFormat="1" ht="13.5" customHeight="1"/>
    <row r="962" s="7" customFormat="1" ht="13.5" customHeight="1"/>
    <row r="963" s="7" customFormat="1" ht="13.5" customHeight="1"/>
    <row r="964" s="7" customFormat="1" ht="13.5" customHeight="1"/>
    <row r="965" s="7" customFormat="1" ht="13.5" customHeight="1"/>
    <row r="966" s="7" customFormat="1" ht="13.5" customHeight="1"/>
    <row r="967" s="7" customFormat="1" ht="13.5" customHeight="1"/>
    <row r="968" s="7" customFormat="1" ht="13.5" customHeight="1"/>
    <row r="969" s="7" customFormat="1" ht="13.5" customHeight="1"/>
    <row r="970" s="7" customFormat="1" ht="13.5" customHeight="1"/>
    <row r="971" s="7" customFormat="1" ht="13.5" customHeight="1"/>
    <row r="972" s="7" customFormat="1" ht="13.5" customHeight="1"/>
    <row r="973" s="7" customFormat="1" ht="13.5" customHeight="1"/>
    <row r="974" s="7" customFormat="1" ht="13.5" customHeight="1"/>
    <row r="975" s="7" customFormat="1" ht="13.5" customHeight="1"/>
    <row r="976" s="7" customFormat="1" ht="13.5" customHeight="1"/>
    <row r="977" s="7" customFormat="1" ht="13.5" customHeight="1"/>
    <row r="978" s="7" customFormat="1" ht="13.5" customHeight="1"/>
    <row r="979" s="7" customFormat="1" ht="13.5" customHeight="1"/>
    <row r="980" s="7" customFormat="1" ht="13.5" customHeight="1"/>
    <row r="981" s="7" customFormat="1" ht="13.5" customHeight="1"/>
    <row r="982" s="7" customFormat="1" ht="13.5" customHeight="1"/>
    <row r="983" s="7" customFormat="1" ht="13.5" customHeight="1"/>
    <row r="984" s="7" customFormat="1" ht="13.5" customHeight="1"/>
    <row r="985" s="7" customFormat="1" ht="13.5" customHeight="1"/>
    <row r="986" s="7" customFormat="1" ht="13.5" customHeight="1"/>
    <row r="987" s="7" customFormat="1" ht="13.5" customHeight="1"/>
    <row r="988" s="7" customFormat="1" ht="13.5" customHeight="1"/>
    <row r="989" s="7" customFormat="1" ht="13.5" customHeight="1"/>
    <row r="990" s="7" customFormat="1" ht="13.5" customHeight="1"/>
    <row r="991" s="7" customFormat="1" ht="13.5" customHeight="1"/>
    <row r="992" s="7" customFormat="1" ht="13.5" customHeight="1"/>
    <row r="993" s="7" customFormat="1" ht="13.5" customHeight="1"/>
    <row r="994" s="7" customFormat="1" ht="13.5" customHeight="1"/>
    <row r="995" s="7" customFormat="1" ht="13.5" customHeight="1"/>
    <row r="996" s="7" customFormat="1" ht="13.5" customHeight="1"/>
    <row r="997" s="7" customFormat="1" ht="13.5" customHeight="1"/>
    <row r="998" s="7" customFormat="1" ht="13.5" customHeight="1"/>
    <row r="999" s="7" customFormat="1" ht="13.5" customHeight="1"/>
    <row r="1000" s="7" customFormat="1" ht="13.5" customHeight="1"/>
    <row r="1001" s="7" customFormat="1" ht="13.5" customHeight="1"/>
    <row r="1002" s="7" customFormat="1" ht="13.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showGridLines="0" workbookViewId="0">
      <selection activeCell="A15" sqref="A15"/>
    </sheetView>
  </sheetViews>
  <sheetFormatPr defaultColWidth="12.6640625" defaultRowHeight="15" customHeight="1"/>
  <cols>
    <col min="1" max="1" width="64.4140625" style="7" customWidth="1"/>
    <col min="2" max="3" width="9.5" style="7" customWidth="1"/>
    <col min="4" max="4" width="8.1640625" style="7" customWidth="1"/>
    <col min="5" max="5" width="7.75" style="7" customWidth="1"/>
    <col min="6" max="24" width="8.6640625" style="7" customWidth="1"/>
    <col min="25" max="16384" width="12.6640625" style="7"/>
  </cols>
  <sheetData>
    <row r="1" spans="1:11" s="373" customFormat="1" ht="13.5" customHeight="1">
      <c r="A1" s="383" t="s">
        <v>30</v>
      </c>
      <c r="B1" s="384"/>
      <c r="C1" s="384"/>
      <c r="D1" s="384"/>
      <c r="E1" s="384"/>
      <c r="F1" s="384"/>
      <c r="G1" s="385"/>
      <c r="H1" s="226"/>
      <c r="I1" s="226"/>
      <c r="J1" s="226"/>
    </row>
    <row r="2" spans="1:11" s="373" customFormat="1" ht="13.5" customHeight="1">
      <c r="A2" s="386"/>
      <c r="B2" s="374"/>
      <c r="C2" s="374"/>
      <c r="D2" s="374"/>
      <c r="E2" s="374"/>
      <c r="F2" s="374"/>
      <c r="G2" s="374"/>
      <c r="H2" s="226"/>
      <c r="I2" s="226"/>
      <c r="J2" s="226"/>
      <c r="K2" s="373" t="s">
        <v>31</v>
      </c>
    </row>
    <row r="3" spans="1:11" ht="13.5" customHeight="1">
      <c r="A3" s="8" t="s">
        <v>32</v>
      </c>
      <c r="B3" s="9" t="s">
        <v>2</v>
      </c>
      <c r="C3" s="10" t="s">
        <v>3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1" t="s">
        <v>12</v>
      </c>
    </row>
    <row r="4" spans="1:11" ht="13.5" customHeight="1">
      <c r="A4" s="12" t="s">
        <v>33</v>
      </c>
      <c r="B4" s="13">
        <v>-25.74</v>
      </c>
      <c r="C4" s="14">
        <v>-27.02</v>
      </c>
      <c r="D4" s="14">
        <v>-27.24</v>
      </c>
      <c r="E4" s="14">
        <v>-37.04</v>
      </c>
      <c r="F4" s="15">
        <v>-42.2</v>
      </c>
      <c r="G4" s="15">
        <v>-31.2</v>
      </c>
      <c r="H4" s="15">
        <v>-35.46</v>
      </c>
      <c r="I4" s="15">
        <v>-28.89</v>
      </c>
      <c r="J4" s="15">
        <v>-26.03</v>
      </c>
      <c r="K4" s="16">
        <v>-21.72</v>
      </c>
    </row>
    <row r="5" spans="1:11" ht="13.5" customHeight="1">
      <c r="A5" s="12" t="s">
        <v>34</v>
      </c>
      <c r="B5" s="17">
        <v>12.69</v>
      </c>
      <c r="C5" s="18">
        <v>15.31</v>
      </c>
      <c r="D5" s="18">
        <v>9.59</v>
      </c>
      <c r="E5" s="18">
        <v>5.1100000000000003</v>
      </c>
      <c r="F5" s="19">
        <v>5.55</v>
      </c>
      <c r="G5" s="19">
        <v>2.48</v>
      </c>
      <c r="H5" s="19">
        <v>1.93</v>
      </c>
      <c r="I5" s="19">
        <v>2.96</v>
      </c>
      <c r="J5" s="19">
        <v>1.5</v>
      </c>
      <c r="K5" s="20">
        <v>0.05</v>
      </c>
    </row>
    <row r="6" spans="1:11" ht="13.5" customHeight="1">
      <c r="A6" s="12" t="s">
        <v>35</v>
      </c>
      <c r="B6" s="17">
        <v>-39.49</v>
      </c>
      <c r="C6" s="18">
        <v>-42.67</v>
      </c>
      <c r="D6" s="18">
        <v>-37.799999999999997</v>
      </c>
      <c r="E6" s="18">
        <v>-42.82</v>
      </c>
      <c r="F6" s="19">
        <v>-48.88</v>
      </c>
      <c r="G6" s="19">
        <v>-34.01</v>
      </c>
      <c r="H6" s="19">
        <v>-37.72</v>
      </c>
      <c r="I6" s="19">
        <v>-32.32</v>
      </c>
      <c r="J6" s="19">
        <v>-27.69</v>
      </c>
      <c r="K6" s="20">
        <v>-26.58</v>
      </c>
    </row>
    <row r="7" spans="1:11" ht="13.5" customHeight="1">
      <c r="A7" s="12" t="s">
        <v>36</v>
      </c>
      <c r="B7" s="17">
        <v>-24.65</v>
      </c>
      <c r="C7" s="18">
        <v>-26.82</v>
      </c>
      <c r="D7" s="18">
        <v>-29.71</v>
      </c>
      <c r="E7" s="18">
        <v>-31.25</v>
      </c>
      <c r="F7" s="19">
        <v>-32.83</v>
      </c>
      <c r="G7" s="19">
        <v>-25.06</v>
      </c>
      <c r="H7" s="19">
        <v>-27.23</v>
      </c>
      <c r="I7" s="19">
        <v>-24.42</v>
      </c>
      <c r="J7" s="19">
        <v>-21.69</v>
      </c>
      <c r="K7" s="20">
        <v>-20.77</v>
      </c>
    </row>
    <row r="8" spans="1:11" ht="13.5" customHeight="1">
      <c r="A8" s="12" t="s">
        <v>37</v>
      </c>
      <c r="B8" s="17">
        <v>192.2</v>
      </c>
      <c r="C8" s="18">
        <v>183.91</v>
      </c>
      <c r="D8" s="18">
        <v>199.36</v>
      </c>
      <c r="E8" s="18">
        <v>342.81</v>
      </c>
      <c r="F8" s="19">
        <v>289.48</v>
      </c>
      <c r="G8" s="19">
        <v>49.39</v>
      </c>
      <c r="H8" s="19">
        <v>44.08</v>
      </c>
      <c r="I8" s="19">
        <v>23.59</v>
      </c>
      <c r="J8" s="19">
        <v>32.65</v>
      </c>
      <c r="K8" s="20">
        <v>29</v>
      </c>
    </row>
    <row r="9" spans="1:11" ht="13.5" customHeight="1">
      <c r="A9" s="12" t="s">
        <v>38</v>
      </c>
      <c r="B9" s="17">
        <v>143.5</v>
      </c>
      <c r="C9" s="18">
        <v>47.79</v>
      </c>
      <c r="D9" s="18">
        <v>36.4</v>
      </c>
      <c r="E9" s="18">
        <v>-69.73</v>
      </c>
      <c r="F9" s="19">
        <v>-77.38</v>
      </c>
      <c r="G9" s="19">
        <v>-186.84</v>
      </c>
      <c r="H9" s="19">
        <v>112.84</v>
      </c>
      <c r="I9" s="19">
        <v>24.77</v>
      </c>
      <c r="J9" s="19">
        <v>498.23</v>
      </c>
      <c r="K9" s="20">
        <v>55.56</v>
      </c>
    </row>
    <row r="10" spans="1:11" ht="13.5" customHeight="1">
      <c r="A10" s="12" t="s">
        <v>39</v>
      </c>
      <c r="B10" s="21">
        <v>20.440000000000001</v>
      </c>
      <c r="C10" s="19">
        <v>18.239999999999998</v>
      </c>
      <c r="D10" s="19">
        <v>18.25</v>
      </c>
      <c r="E10" s="19">
        <v>17.559999999999999</v>
      </c>
      <c r="F10" s="19">
        <v>16.14</v>
      </c>
      <c r="G10" s="19">
        <v>17.48</v>
      </c>
      <c r="H10" s="19">
        <v>16.25</v>
      </c>
      <c r="I10" s="19">
        <v>20.03</v>
      </c>
      <c r="J10" s="19">
        <v>20.03</v>
      </c>
      <c r="K10" s="22">
        <v>18.98</v>
      </c>
    </row>
    <row r="11" spans="1:11" ht="13.5" customHeight="1">
      <c r="A11" s="12" t="s">
        <v>40</v>
      </c>
      <c r="B11" s="21">
        <v>32.58</v>
      </c>
      <c r="C11" s="19">
        <v>28.4</v>
      </c>
      <c r="D11" s="19">
        <v>25.85</v>
      </c>
      <c r="E11" s="19">
        <v>25.35</v>
      </c>
      <c r="F11" s="19">
        <v>24.02</v>
      </c>
      <c r="G11" s="19">
        <v>23.43</v>
      </c>
      <c r="H11" s="19">
        <v>22.01</v>
      </c>
      <c r="I11" s="19">
        <v>26.36</v>
      </c>
      <c r="J11" s="19">
        <v>26.36</v>
      </c>
      <c r="K11" s="22">
        <v>24.29</v>
      </c>
    </row>
    <row r="12" spans="1:11" ht="13.5" customHeight="1">
      <c r="A12" s="23" t="s">
        <v>41</v>
      </c>
      <c r="B12" s="24">
        <v>-7.66</v>
      </c>
      <c r="C12" s="25">
        <v>-7.13</v>
      </c>
      <c r="D12" s="25">
        <v>-7.09</v>
      </c>
      <c r="E12" s="25">
        <v>-7.6</v>
      </c>
      <c r="F12" s="25">
        <v>-7.89</v>
      </c>
      <c r="G12" s="25">
        <v>-5.95</v>
      </c>
      <c r="H12" s="25">
        <v>-5.76</v>
      </c>
      <c r="I12" s="25">
        <v>-6.34</v>
      </c>
      <c r="J12" s="25">
        <v>-6.34</v>
      </c>
      <c r="K12" s="26">
        <v>-5.04</v>
      </c>
    </row>
    <row r="13" spans="1:11" s="379" customFormat="1" ht="13.5" customHeight="1">
      <c r="A13" s="387" t="s">
        <v>42</v>
      </c>
      <c r="B13" s="387"/>
      <c r="C13" s="387"/>
      <c r="D13" s="6"/>
      <c r="E13" s="6"/>
      <c r="F13" s="6"/>
      <c r="G13" s="6"/>
      <c r="H13" s="6"/>
      <c r="I13" s="6"/>
      <c r="J13" s="6"/>
    </row>
    <row r="14" spans="1:11" ht="13.5" customHeight="1">
      <c r="A14" s="27"/>
      <c r="B14" s="27"/>
      <c r="C14" s="27"/>
      <c r="D14" s="28"/>
      <c r="F14" s="28"/>
      <c r="G14" s="28"/>
      <c r="H14" s="28"/>
      <c r="I14" s="28"/>
      <c r="J14" s="28"/>
    </row>
    <row r="15" spans="1:11" ht="13.5" customHeight="1"/>
    <row r="16" spans="1:11" ht="13.5" customHeight="1"/>
    <row r="17" s="7" customFormat="1" ht="13.5" customHeight="1"/>
    <row r="18" s="7" customFormat="1" ht="13.5" customHeight="1"/>
    <row r="19" s="7" customFormat="1" ht="13.5" customHeight="1"/>
    <row r="20" s="7" customFormat="1" ht="13.5" customHeight="1"/>
    <row r="21" s="7" customFormat="1" ht="13.5" customHeight="1"/>
    <row r="22" s="7" customFormat="1" ht="13.5" customHeight="1"/>
    <row r="23" s="7" customFormat="1" ht="13.5" customHeight="1"/>
    <row r="24" s="7" customFormat="1" ht="13.5" customHeight="1"/>
    <row r="25" s="7" customFormat="1" ht="13.5" customHeight="1"/>
    <row r="26" s="7" customFormat="1" ht="13.5" customHeight="1"/>
    <row r="27" s="7" customFormat="1" ht="13.5" customHeight="1"/>
    <row r="28" s="7" customFormat="1" ht="13.5" customHeight="1"/>
    <row r="29" s="7" customFormat="1" ht="13.5" customHeight="1"/>
    <row r="30" s="7" customFormat="1" ht="13.5" customHeight="1"/>
    <row r="31" s="7" customFormat="1" ht="13.5" customHeight="1"/>
    <row r="32" s="7" customFormat="1" ht="13.5" customHeight="1"/>
    <row r="33" s="7" customFormat="1" ht="13.5" customHeight="1"/>
    <row r="34" s="7" customFormat="1" ht="13.5" customHeight="1"/>
    <row r="35" s="7" customFormat="1" ht="13.5" customHeight="1"/>
    <row r="36" s="7" customFormat="1" ht="13.5" customHeight="1"/>
    <row r="37" s="7" customFormat="1" ht="13.5" customHeight="1"/>
    <row r="38" s="7" customFormat="1" ht="13.5" customHeight="1"/>
    <row r="39" s="7" customFormat="1" ht="13.5" customHeight="1"/>
    <row r="40" s="7" customFormat="1" ht="13.5" customHeight="1"/>
    <row r="41" s="7" customFormat="1" ht="13.5" customHeight="1"/>
    <row r="42" s="7" customFormat="1" ht="13.5" customHeight="1"/>
    <row r="43" s="7" customFormat="1" ht="13.5" customHeight="1"/>
    <row r="44" s="7" customFormat="1" ht="13.5" customHeight="1"/>
    <row r="45" s="7" customFormat="1" ht="13.5" customHeight="1"/>
    <row r="46" s="7" customFormat="1" ht="13.5" customHeight="1"/>
    <row r="47" s="7" customFormat="1" ht="13.5" customHeight="1"/>
    <row r="48" s="7" customFormat="1" ht="13.5" customHeight="1"/>
    <row r="49" s="7" customFormat="1" ht="13.5" customHeight="1"/>
    <row r="50" s="7" customFormat="1" ht="13.5" customHeight="1"/>
    <row r="51" s="7" customFormat="1" ht="13.5" customHeight="1"/>
    <row r="52" s="7" customFormat="1" ht="13.5" customHeight="1"/>
    <row r="53" s="7" customFormat="1" ht="13.5" customHeight="1"/>
    <row r="54" s="7" customFormat="1" ht="13.5" customHeight="1"/>
    <row r="55" s="7" customFormat="1" ht="13.5" customHeight="1"/>
    <row r="56" s="7" customFormat="1" ht="13.5" customHeight="1"/>
    <row r="57" s="7" customFormat="1" ht="13.5" customHeight="1"/>
    <row r="58" s="7" customFormat="1" ht="13.5" customHeight="1"/>
    <row r="59" s="7" customFormat="1" ht="13.5" customHeight="1"/>
    <row r="60" s="7" customFormat="1" ht="13.5" customHeight="1"/>
    <row r="61" s="7" customFormat="1" ht="13.5" customHeight="1"/>
    <row r="62" s="7" customFormat="1" ht="13.5" customHeight="1"/>
    <row r="63" s="7" customFormat="1" ht="13.5" customHeight="1"/>
    <row r="64" s="7" customFormat="1" ht="13.5" customHeight="1"/>
    <row r="65" s="7" customFormat="1" ht="13.5" customHeight="1"/>
    <row r="66" s="7" customFormat="1" ht="13.5" customHeight="1"/>
    <row r="67" s="7" customFormat="1" ht="13.5" customHeight="1"/>
    <row r="68" s="7" customFormat="1" ht="13.5" customHeight="1"/>
    <row r="69" s="7" customFormat="1" ht="13.5" customHeight="1"/>
    <row r="70" s="7" customFormat="1" ht="13.5" customHeight="1"/>
    <row r="71" s="7" customFormat="1" ht="13.5" customHeight="1"/>
    <row r="72" s="7" customFormat="1" ht="13.5" customHeight="1"/>
    <row r="73" s="7" customFormat="1" ht="13.5" customHeight="1"/>
    <row r="74" s="7" customFormat="1" ht="13.5" customHeight="1"/>
    <row r="75" s="7" customFormat="1" ht="13.5" customHeight="1"/>
    <row r="76" s="7" customFormat="1" ht="13.5" customHeight="1"/>
    <row r="77" s="7" customFormat="1" ht="13.5" customHeight="1"/>
    <row r="78" s="7" customFormat="1" ht="13.5" customHeight="1"/>
    <row r="79" s="7" customFormat="1" ht="13.5" customHeight="1"/>
    <row r="80" s="7" customFormat="1" ht="13.5" customHeight="1"/>
    <row r="81" s="7" customFormat="1" ht="13.5" customHeight="1"/>
    <row r="82" s="7" customFormat="1" ht="13.5" customHeight="1"/>
    <row r="83" s="7" customFormat="1" ht="13.5" customHeight="1"/>
    <row r="84" s="7" customFormat="1" ht="13.5" customHeight="1"/>
    <row r="85" s="7" customFormat="1" ht="13.5" customHeight="1"/>
    <row r="86" s="7" customFormat="1" ht="13.5" customHeight="1"/>
    <row r="87" s="7" customFormat="1" ht="13.5" customHeight="1"/>
    <row r="88" s="7" customFormat="1" ht="13.5" customHeight="1"/>
    <row r="89" s="7" customFormat="1" ht="13.5" customHeight="1"/>
    <row r="90" s="7" customFormat="1" ht="13.5" customHeight="1"/>
    <row r="91" s="7" customFormat="1" ht="13.5" customHeight="1"/>
    <row r="92" s="7" customFormat="1" ht="13.5" customHeight="1"/>
    <row r="93" s="7" customFormat="1" ht="13.5" customHeight="1"/>
    <row r="94" s="7" customFormat="1" ht="13.5" customHeight="1"/>
    <row r="95" s="7" customFormat="1" ht="13.5" customHeight="1"/>
    <row r="96" s="7" customFormat="1" ht="13.5" customHeight="1"/>
    <row r="97" s="7" customFormat="1" ht="13.5" customHeight="1"/>
    <row r="98" s="7" customFormat="1" ht="13.5" customHeight="1"/>
    <row r="99" s="7" customFormat="1" ht="13.5" customHeight="1"/>
    <row r="100" s="7" customFormat="1" ht="13.5" customHeight="1"/>
    <row r="101" s="7" customFormat="1" ht="13.5" customHeight="1"/>
    <row r="102" s="7" customFormat="1" ht="13.5" customHeight="1"/>
    <row r="103" s="7" customFormat="1" ht="13.5" customHeight="1"/>
    <row r="104" s="7" customFormat="1" ht="13.5" customHeight="1"/>
    <row r="105" s="7" customFormat="1" ht="13.5" customHeight="1"/>
    <row r="106" s="7" customFormat="1" ht="13.5" customHeight="1"/>
    <row r="107" s="7" customFormat="1" ht="13.5" customHeight="1"/>
    <row r="108" s="7" customFormat="1" ht="13.5" customHeight="1"/>
    <row r="109" s="7" customFormat="1" ht="13.5" customHeight="1"/>
    <row r="110" s="7" customFormat="1" ht="13.5" customHeight="1"/>
    <row r="111" s="7" customFormat="1" ht="13.5" customHeight="1"/>
    <row r="112" s="7" customFormat="1" ht="13.5" customHeight="1"/>
    <row r="113" s="7" customFormat="1" ht="13.5" customHeight="1"/>
    <row r="114" s="7" customFormat="1" ht="13.5" customHeight="1"/>
    <row r="115" s="7" customFormat="1" ht="13.5" customHeight="1"/>
    <row r="116" s="7" customFormat="1" ht="13.5" customHeight="1"/>
    <row r="117" s="7" customFormat="1" ht="13.5" customHeight="1"/>
    <row r="118" s="7" customFormat="1" ht="13.5" customHeight="1"/>
    <row r="119" s="7" customFormat="1" ht="13.5" customHeight="1"/>
    <row r="120" s="7" customFormat="1" ht="13.5" customHeight="1"/>
    <row r="121" s="7" customFormat="1" ht="13.5" customHeight="1"/>
    <row r="122" s="7" customFormat="1" ht="13.5" customHeight="1"/>
    <row r="123" s="7" customFormat="1" ht="13.5" customHeight="1"/>
    <row r="124" s="7" customFormat="1" ht="13.5" customHeight="1"/>
    <row r="125" s="7" customFormat="1" ht="13.5" customHeight="1"/>
    <row r="126" s="7" customFormat="1" ht="13.5" customHeight="1"/>
    <row r="127" s="7" customFormat="1" ht="13.5" customHeight="1"/>
    <row r="128" s="7" customFormat="1" ht="13.5" customHeight="1"/>
    <row r="129" s="7" customFormat="1" ht="13.5" customHeight="1"/>
    <row r="130" s="7" customFormat="1" ht="13.5" customHeight="1"/>
    <row r="131" s="7" customFormat="1" ht="13.5" customHeight="1"/>
    <row r="132" s="7" customFormat="1" ht="13.5" customHeight="1"/>
    <row r="133" s="7" customFormat="1" ht="13.5" customHeight="1"/>
    <row r="134" s="7" customFormat="1" ht="13.5" customHeight="1"/>
    <row r="135" s="7" customFormat="1" ht="13.5" customHeight="1"/>
    <row r="136" s="7" customFormat="1" ht="13.5" customHeight="1"/>
    <row r="137" s="7" customFormat="1" ht="13.5" customHeight="1"/>
    <row r="138" s="7" customFormat="1" ht="13.5" customHeight="1"/>
    <row r="139" s="7" customFormat="1" ht="13.5" customHeight="1"/>
    <row r="140" s="7" customFormat="1" ht="13.5" customHeight="1"/>
    <row r="141" s="7" customFormat="1" ht="13.5" customHeight="1"/>
    <row r="142" s="7" customFormat="1" ht="13.5" customHeight="1"/>
    <row r="143" s="7" customFormat="1" ht="13.5" customHeight="1"/>
    <row r="144" s="7" customFormat="1" ht="13.5" customHeight="1"/>
    <row r="145" s="7" customFormat="1" ht="13.5" customHeight="1"/>
    <row r="146" s="7" customFormat="1" ht="13.5" customHeight="1"/>
    <row r="147" s="7" customFormat="1" ht="13.5" customHeight="1"/>
    <row r="148" s="7" customFormat="1" ht="13.5" customHeight="1"/>
    <row r="149" s="7" customFormat="1" ht="13.5" customHeight="1"/>
    <row r="150" s="7" customFormat="1" ht="13.5" customHeight="1"/>
    <row r="151" s="7" customFormat="1" ht="13.5" customHeight="1"/>
    <row r="152" s="7" customFormat="1" ht="13.5" customHeight="1"/>
    <row r="153" s="7" customFormat="1" ht="13.5" customHeight="1"/>
    <row r="154" s="7" customFormat="1" ht="13.5" customHeight="1"/>
    <row r="155" s="7" customFormat="1" ht="13.5" customHeight="1"/>
    <row r="156" s="7" customFormat="1" ht="13.5" customHeight="1"/>
    <row r="157" s="7" customFormat="1" ht="13.5" customHeight="1"/>
    <row r="158" s="7" customFormat="1" ht="13.5" customHeight="1"/>
    <row r="159" s="7" customFormat="1" ht="13.5" customHeight="1"/>
    <row r="160" s="7" customFormat="1" ht="13.5" customHeight="1"/>
    <row r="161" s="7" customFormat="1" ht="13.5" customHeight="1"/>
    <row r="162" s="7" customFormat="1" ht="13.5" customHeight="1"/>
    <row r="163" s="7" customFormat="1" ht="13.5" customHeight="1"/>
    <row r="164" s="7" customFormat="1" ht="13.5" customHeight="1"/>
    <row r="165" s="7" customFormat="1" ht="13.5" customHeight="1"/>
    <row r="166" s="7" customFormat="1" ht="13.5" customHeight="1"/>
    <row r="167" s="7" customFormat="1" ht="13.5" customHeight="1"/>
    <row r="168" s="7" customFormat="1" ht="13.5" customHeight="1"/>
    <row r="169" s="7" customFormat="1" ht="13.5" customHeight="1"/>
    <row r="170" s="7" customFormat="1" ht="13.5" customHeight="1"/>
    <row r="171" s="7" customFormat="1" ht="13.5" customHeight="1"/>
    <row r="172" s="7" customFormat="1" ht="13.5" customHeight="1"/>
    <row r="173" s="7" customFormat="1" ht="13.5" customHeight="1"/>
    <row r="174" s="7" customFormat="1" ht="13.5" customHeight="1"/>
    <row r="175" s="7" customFormat="1" ht="13.5" customHeight="1"/>
    <row r="176" s="7" customFormat="1" ht="13.5" customHeight="1"/>
    <row r="177" s="7" customFormat="1" ht="13.5" customHeight="1"/>
    <row r="178" s="7" customFormat="1" ht="13.5" customHeight="1"/>
    <row r="179" s="7" customFormat="1" ht="13.5" customHeight="1"/>
    <row r="180" s="7" customFormat="1" ht="13.5" customHeight="1"/>
    <row r="181" s="7" customFormat="1" ht="13.5" customHeight="1"/>
    <row r="182" s="7" customFormat="1" ht="13.5" customHeight="1"/>
    <row r="183" s="7" customFormat="1" ht="13.5" customHeight="1"/>
    <row r="184" s="7" customFormat="1" ht="13.5" customHeight="1"/>
    <row r="185" s="7" customFormat="1" ht="13.5" customHeight="1"/>
    <row r="186" s="7" customFormat="1" ht="13.5" customHeight="1"/>
    <row r="187" s="7" customFormat="1" ht="13.5" customHeight="1"/>
    <row r="188" s="7" customFormat="1" ht="13.5" customHeight="1"/>
    <row r="189" s="7" customFormat="1" ht="13.5" customHeight="1"/>
    <row r="190" s="7" customFormat="1" ht="13.5" customHeight="1"/>
    <row r="191" s="7" customFormat="1" ht="13.5" customHeight="1"/>
    <row r="192" s="7" customFormat="1" ht="13.5" customHeight="1"/>
    <row r="193" s="7" customFormat="1" ht="13.5" customHeight="1"/>
    <row r="194" s="7" customFormat="1" ht="13.5" customHeight="1"/>
    <row r="195" s="7" customFormat="1" ht="13.5" customHeight="1"/>
    <row r="196" s="7" customFormat="1" ht="13.5" customHeight="1"/>
    <row r="197" s="7" customFormat="1" ht="13.5" customHeight="1"/>
    <row r="198" s="7" customFormat="1" ht="13.5" customHeight="1"/>
    <row r="199" s="7" customFormat="1" ht="13.5" customHeight="1"/>
    <row r="200" s="7" customFormat="1" ht="13.5" customHeight="1"/>
    <row r="201" s="7" customFormat="1" ht="13.5" customHeight="1"/>
    <row r="202" s="7" customFormat="1" ht="13.5" customHeight="1"/>
    <row r="203" s="7" customFormat="1" ht="13.5" customHeight="1"/>
    <row r="204" s="7" customFormat="1" ht="13.5" customHeight="1"/>
    <row r="205" s="7" customFormat="1" ht="13.5" customHeight="1"/>
    <row r="206" s="7" customFormat="1" ht="13.5" customHeight="1"/>
    <row r="207" s="7" customFormat="1" ht="13.5" customHeight="1"/>
    <row r="208" s="7" customFormat="1" ht="13.5" customHeight="1"/>
    <row r="209" s="7" customFormat="1" ht="13.5" customHeight="1"/>
    <row r="210" s="7" customFormat="1" ht="13.5" customHeight="1"/>
    <row r="211" s="7" customFormat="1" ht="13.5" customHeight="1"/>
    <row r="212" s="7" customFormat="1" ht="13.5" customHeight="1"/>
    <row r="213" s="7" customFormat="1" ht="13.5" customHeight="1"/>
    <row r="214" s="7" customFormat="1" ht="13.5" customHeight="1"/>
    <row r="215" s="7" customFormat="1" ht="13.5" customHeight="1"/>
    <row r="216" s="7" customFormat="1" ht="13.5" customHeight="1"/>
    <row r="217" s="7" customFormat="1" ht="13.5" customHeight="1"/>
    <row r="218" s="7" customFormat="1" ht="13.5" customHeight="1"/>
    <row r="219" s="7" customFormat="1" ht="13.5" customHeight="1"/>
    <row r="220" s="7" customFormat="1" ht="13.5" customHeight="1"/>
    <row r="221" s="7" customFormat="1" ht="13.5" customHeight="1"/>
    <row r="222" s="7" customFormat="1" ht="13.5" customHeight="1"/>
    <row r="223" s="7" customFormat="1" ht="13.5" customHeight="1"/>
    <row r="224" s="7" customFormat="1" ht="13.5" customHeight="1"/>
    <row r="225" s="7" customFormat="1" ht="13.5" customHeight="1"/>
    <row r="226" s="7" customFormat="1" ht="13.5" customHeight="1"/>
    <row r="227" s="7" customFormat="1" ht="13.5" customHeight="1"/>
    <row r="228" s="7" customFormat="1" ht="13.5" customHeight="1"/>
    <row r="229" s="7" customFormat="1" ht="13.5" customHeight="1"/>
    <row r="230" s="7" customFormat="1" ht="13.5" customHeight="1"/>
    <row r="231" s="7" customFormat="1" ht="13.5" customHeight="1"/>
    <row r="232" s="7" customFormat="1" ht="13.5" customHeight="1"/>
    <row r="233" s="7" customFormat="1" ht="13.5" customHeight="1"/>
    <row r="234" s="7" customFormat="1" ht="13.5" customHeight="1"/>
    <row r="235" s="7" customFormat="1" ht="13.5" customHeight="1"/>
    <row r="236" s="7" customFormat="1" ht="13.5" customHeight="1"/>
    <row r="237" s="7" customFormat="1" ht="13.5" customHeight="1"/>
    <row r="238" s="7" customFormat="1" ht="13.5" customHeight="1"/>
    <row r="239" s="7" customFormat="1" ht="13.5" customHeight="1"/>
    <row r="240" s="7" customFormat="1" ht="13.5" customHeight="1"/>
    <row r="241" s="7" customFormat="1" ht="13.5" customHeight="1"/>
    <row r="242" s="7" customFormat="1" ht="13.5" customHeight="1"/>
    <row r="243" s="7" customFormat="1" ht="13.5" customHeight="1"/>
    <row r="244" s="7" customFormat="1" ht="13.5" customHeight="1"/>
    <row r="245" s="7" customFormat="1" ht="13.5" customHeight="1"/>
    <row r="246" s="7" customFormat="1" ht="13.5" customHeight="1"/>
    <row r="247" s="7" customFormat="1" ht="13.5" customHeight="1"/>
    <row r="248" s="7" customFormat="1" ht="13.5" customHeight="1"/>
    <row r="249" s="7" customFormat="1" ht="13.5" customHeight="1"/>
    <row r="250" s="7" customFormat="1" ht="13.5" customHeight="1"/>
    <row r="251" s="7" customFormat="1" ht="13.5" customHeight="1"/>
    <row r="252" s="7" customFormat="1" ht="13.5" customHeight="1"/>
    <row r="253" s="7" customFormat="1" ht="13.5" customHeight="1"/>
    <row r="254" s="7" customFormat="1" ht="13.5" customHeight="1"/>
    <row r="255" s="7" customFormat="1" ht="13.5" customHeight="1"/>
    <row r="256" s="7" customFormat="1" ht="13.5" customHeight="1"/>
    <row r="257" s="7" customFormat="1" ht="13.5" customHeight="1"/>
    <row r="258" s="7" customFormat="1" ht="13.5" customHeight="1"/>
    <row r="259" s="7" customFormat="1" ht="13.5" customHeight="1"/>
    <row r="260" s="7" customFormat="1" ht="13.5" customHeight="1"/>
    <row r="261" s="7" customFormat="1" ht="13.5" customHeight="1"/>
    <row r="262" s="7" customFormat="1" ht="13.5" customHeight="1"/>
    <row r="263" s="7" customFormat="1" ht="13.5" customHeight="1"/>
    <row r="264" s="7" customFormat="1" ht="13.5" customHeight="1"/>
    <row r="265" s="7" customFormat="1" ht="13.5" customHeight="1"/>
    <row r="266" s="7" customFormat="1" ht="13.5" customHeight="1"/>
    <row r="267" s="7" customFormat="1" ht="13.5" customHeight="1"/>
    <row r="268" s="7" customFormat="1" ht="13.5" customHeight="1"/>
    <row r="269" s="7" customFormat="1" ht="13.5" customHeight="1"/>
    <row r="270" s="7" customFormat="1" ht="13.5" customHeight="1"/>
    <row r="271" s="7" customFormat="1" ht="13.5" customHeight="1"/>
    <row r="272" s="7" customFormat="1" ht="13.5" customHeight="1"/>
    <row r="273" s="7" customFormat="1" ht="13.5" customHeight="1"/>
    <row r="274" s="7" customFormat="1" ht="13.5" customHeight="1"/>
    <row r="275" s="7" customFormat="1" ht="13.5" customHeight="1"/>
    <row r="276" s="7" customFormat="1" ht="13.5" customHeight="1"/>
    <row r="277" s="7" customFormat="1" ht="13.5" customHeight="1"/>
    <row r="278" s="7" customFormat="1" ht="13.5" customHeight="1"/>
    <row r="279" s="7" customFormat="1" ht="13.5" customHeight="1"/>
    <row r="280" s="7" customFormat="1" ht="13.5" customHeight="1"/>
    <row r="281" s="7" customFormat="1" ht="13.5" customHeight="1"/>
    <row r="282" s="7" customFormat="1" ht="13.5" customHeight="1"/>
    <row r="283" s="7" customFormat="1" ht="13.5" customHeight="1"/>
    <row r="284" s="7" customFormat="1" ht="13.5" customHeight="1"/>
    <row r="285" s="7" customFormat="1" ht="13.5" customHeight="1"/>
    <row r="286" s="7" customFormat="1" ht="13.5" customHeight="1"/>
    <row r="287" s="7" customFormat="1" ht="13.5" customHeight="1"/>
    <row r="288" s="7" customFormat="1" ht="13.5" customHeight="1"/>
    <row r="289" s="7" customFormat="1" ht="13.5" customHeight="1"/>
    <row r="290" s="7" customFormat="1" ht="13.5" customHeight="1"/>
    <row r="291" s="7" customFormat="1" ht="13.5" customHeight="1"/>
    <row r="292" s="7" customFormat="1" ht="13.5" customHeight="1"/>
    <row r="293" s="7" customFormat="1" ht="13.5" customHeight="1"/>
    <row r="294" s="7" customFormat="1" ht="13.5" customHeight="1"/>
    <row r="295" s="7" customFormat="1" ht="13.5" customHeight="1"/>
    <row r="296" s="7" customFormat="1" ht="13.5" customHeight="1"/>
    <row r="297" s="7" customFormat="1" ht="13.5" customHeight="1"/>
    <row r="298" s="7" customFormat="1" ht="13.5" customHeight="1"/>
    <row r="299" s="7" customFormat="1" ht="13.5" customHeight="1"/>
    <row r="300" s="7" customFormat="1" ht="13.5" customHeight="1"/>
    <row r="301" s="7" customFormat="1" ht="13.5" customHeight="1"/>
    <row r="302" s="7" customFormat="1" ht="13.5" customHeight="1"/>
    <row r="303" s="7" customFormat="1" ht="13.5" customHeight="1"/>
    <row r="304" s="7" customFormat="1" ht="13.5" customHeight="1"/>
    <row r="305" s="7" customFormat="1" ht="13.5" customHeight="1"/>
    <row r="306" s="7" customFormat="1" ht="13.5" customHeight="1"/>
    <row r="307" s="7" customFormat="1" ht="13.5" customHeight="1"/>
    <row r="308" s="7" customFormat="1" ht="13.5" customHeight="1"/>
    <row r="309" s="7" customFormat="1" ht="13.5" customHeight="1"/>
    <row r="310" s="7" customFormat="1" ht="13.5" customHeight="1"/>
    <row r="311" s="7" customFormat="1" ht="13.5" customHeight="1"/>
    <row r="312" s="7" customFormat="1" ht="13.5" customHeight="1"/>
    <row r="313" s="7" customFormat="1" ht="13.5" customHeight="1"/>
    <row r="314" s="7" customFormat="1" ht="13.5" customHeight="1"/>
    <row r="315" s="7" customFormat="1" ht="13.5" customHeight="1"/>
    <row r="316" s="7" customFormat="1" ht="13.5" customHeight="1"/>
    <row r="317" s="7" customFormat="1" ht="13.5" customHeight="1"/>
    <row r="318" s="7" customFormat="1" ht="13.5" customHeight="1"/>
    <row r="319" s="7" customFormat="1" ht="13.5" customHeight="1"/>
    <row r="320" s="7" customFormat="1" ht="13.5" customHeight="1"/>
    <row r="321" s="7" customFormat="1" ht="13.5" customHeight="1"/>
    <row r="322" s="7" customFormat="1" ht="13.5" customHeight="1"/>
    <row r="323" s="7" customFormat="1" ht="13.5" customHeight="1"/>
    <row r="324" s="7" customFormat="1" ht="13.5" customHeight="1"/>
    <row r="325" s="7" customFormat="1" ht="13.5" customHeight="1"/>
    <row r="326" s="7" customFormat="1" ht="13.5" customHeight="1"/>
    <row r="327" s="7" customFormat="1" ht="13.5" customHeight="1"/>
    <row r="328" s="7" customFormat="1" ht="13.5" customHeight="1"/>
    <row r="329" s="7" customFormat="1" ht="13.5" customHeight="1"/>
    <row r="330" s="7" customFormat="1" ht="13.5" customHeight="1"/>
    <row r="331" s="7" customFormat="1" ht="13.5" customHeight="1"/>
    <row r="332" s="7" customFormat="1" ht="13.5" customHeight="1"/>
    <row r="333" s="7" customFormat="1" ht="13.5" customHeight="1"/>
    <row r="334" s="7" customFormat="1" ht="13.5" customHeight="1"/>
    <row r="335" s="7" customFormat="1" ht="13.5" customHeight="1"/>
    <row r="336" s="7" customFormat="1" ht="13.5" customHeight="1"/>
    <row r="337" s="7" customFormat="1" ht="13.5" customHeight="1"/>
    <row r="338" s="7" customFormat="1" ht="13.5" customHeight="1"/>
    <row r="339" s="7" customFormat="1" ht="13.5" customHeight="1"/>
    <row r="340" s="7" customFormat="1" ht="13.5" customHeight="1"/>
    <row r="341" s="7" customFormat="1" ht="13.5" customHeight="1"/>
    <row r="342" s="7" customFormat="1" ht="13.5" customHeight="1"/>
    <row r="343" s="7" customFormat="1" ht="13.5" customHeight="1"/>
    <row r="344" s="7" customFormat="1" ht="13.5" customHeight="1"/>
    <row r="345" s="7" customFormat="1" ht="13.5" customHeight="1"/>
    <row r="346" s="7" customFormat="1" ht="13.5" customHeight="1"/>
    <row r="347" s="7" customFormat="1" ht="13.5" customHeight="1"/>
    <row r="348" s="7" customFormat="1" ht="13.5" customHeight="1"/>
    <row r="349" s="7" customFormat="1" ht="13.5" customHeight="1"/>
    <row r="350" s="7" customFormat="1" ht="13.5" customHeight="1"/>
    <row r="351" s="7" customFormat="1" ht="13.5" customHeight="1"/>
    <row r="352" s="7" customFormat="1" ht="13.5" customHeight="1"/>
    <row r="353" s="7" customFormat="1" ht="13.5" customHeight="1"/>
    <row r="354" s="7" customFormat="1" ht="13.5" customHeight="1"/>
    <row r="355" s="7" customFormat="1" ht="13.5" customHeight="1"/>
    <row r="356" s="7" customFormat="1" ht="13.5" customHeight="1"/>
    <row r="357" s="7" customFormat="1" ht="13.5" customHeight="1"/>
    <row r="358" s="7" customFormat="1" ht="13.5" customHeight="1"/>
    <row r="359" s="7" customFormat="1" ht="13.5" customHeight="1"/>
    <row r="360" s="7" customFormat="1" ht="13.5" customHeight="1"/>
    <row r="361" s="7" customFormat="1" ht="13.5" customHeight="1"/>
    <row r="362" s="7" customFormat="1" ht="13.5" customHeight="1"/>
    <row r="363" s="7" customFormat="1" ht="13.5" customHeight="1"/>
    <row r="364" s="7" customFormat="1" ht="13.5" customHeight="1"/>
    <row r="365" s="7" customFormat="1" ht="13.5" customHeight="1"/>
    <row r="366" s="7" customFormat="1" ht="13.5" customHeight="1"/>
    <row r="367" s="7" customFormat="1" ht="13.5" customHeight="1"/>
    <row r="368" s="7" customFormat="1" ht="13.5" customHeight="1"/>
    <row r="369" s="7" customFormat="1" ht="13.5" customHeight="1"/>
    <row r="370" s="7" customFormat="1" ht="13.5" customHeight="1"/>
    <row r="371" s="7" customFormat="1" ht="13.5" customHeight="1"/>
    <row r="372" s="7" customFormat="1" ht="13.5" customHeight="1"/>
    <row r="373" s="7" customFormat="1" ht="13.5" customHeight="1"/>
    <row r="374" s="7" customFormat="1" ht="13.5" customHeight="1"/>
    <row r="375" s="7" customFormat="1" ht="13.5" customHeight="1"/>
    <row r="376" s="7" customFormat="1" ht="13.5" customHeight="1"/>
    <row r="377" s="7" customFormat="1" ht="13.5" customHeight="1"/>
    <row r="378" s="7" customFormat="1" ht="13.5" customHeight="1"/>
    <row r="379" s="7" customFormat="1" ht="13.5" customHeight="1"/>
    <row r="380" s="7" customFormat="1" ht="13.5" customHeight="1"/>
    <row r="381" s="7" customFormat="1" ht="13.5" customHeight="1"/>
    <row r="382" s="7" customFormat="1" ht="13.5" customHeight="1"/>
    <row r="383" s="7" customFormat="1" ht="13.5" customHeight="1"/>
    <row r="384" s="7" customFormat="1" ht="13.5" customHeight="1"/>
    <row r="385" s="7" customFormat="1" ht="13.5" customHeight="1"/>
    <row r="386" s="7" customFormat="1" ht="13.5" customHeight="1"/>
    <row r="387" s="7" customFormat="1" ht="13.5" customHeight="1"/>
    <row r="388" s="7" customFormat="1" ht="13.5" customHeight="1"/>
    <row r="389" s="7" customFormat="1" ht="13.5" customHeight="1"/>
    <row r="390" s="7" customFormat="1" ht="13.5" customHeight="1"/>
    <row r="391" s="7" customFormat="1" ht="13.5" customHeight="1"/>
    <row r="392" s="7" customFormat="1" ht="13.5" customHeight="1"/>
    <row r="393" s="7" customFormat="1" ht="13.5" customHeight="1"/>
    <row r="394" s="7" customFormat="1" ht="13.5" customHeight="1"/>
    <row r="395" s="7" customFormat="1" ht="13.5" customHeight="1"/>
    <row r="396" s="7" customFormat="1" ht="13.5" customHeight="1"/>
    <row r="397" s="7" customFormat="1" ht="13.5" customHeight="1"/>
    <row r="398" s="7" customFormat="1" ht="13.5" customHeight="1"/>
    <row r="399" s="7" customFormat="1" ht="13.5" customHeight="1"/>
    <row r="400" s="7" customFormat="1" ht="13.5" customHeight="1"/>
    <row r="401" s="7" customFormat="1" ht="13.5" customHeight="1"/>
    <row r="402" s="7" customFormat="1" ht="13.5" customHeight="1"/>
    <row r="403" s="7" customFormat="1" ht="13.5" customHeight="1"/>
    <row r="404" s="7" customFormat="1" ht="13.5" customHeight="1"/>
    <row r="405" s="7" customFormat="1" ht="13.5" customHeight="1"/>
    <row r="406" s="7" customFormat="1" ht="13.5" customHeight="1"/>
    <row r="407" s="7" customFormat="1" ht="13.5" customHeight="1"/>
    <row r="408" s="7" customFormat="1" ht="13.5" customHeight="1"/>
    <row r="409" s="7" customFormat="1" ht="13.5" customHeight="1"/>
    <row r="410" s="7" customFormat="1" ht="13.5" customHeight="1"/>
    <row r="411" s="7" customFormat="1" ht="13.5" customHeight="1"/>
    <row r="412" s="7" customFormat="1" ht="13.5" customHeight="1"/>
    <row r="413" s="7" customFormat="1" ht="13.5" customHeight="1"/>
    <row r="414" s="7" customFormat="1" ht="13.5" customHeight="1"/>
    <row r="415" s="7" customFormat="1" ht="13.5" customHeight="1"/>
    <row r="416" s="7" customFormat="1" ht="13.5" customHeight="1"/>
    <row r="417" s="7" customFormat="1" ht="13.5" customHeight="1"/>
    <row r="418" s="7" customFormat="1" ht="13.5" customHeight="1"/>
    <row r="419" s="7" customFormat="1" ht="13.5" customHeight="1"/>
    <row r="420" s="7" customFormat="1" ht="13.5" customHeight="1"/>
    <row r="421" s="7" customFormat="1" ht="13.5" customHeight="1"/>
    <row r="422" s="7" customFormat="1" ht="13.5" customHeight="1"/>
    <row r="423" s="7" customFormat="1" ht="13.5" customHeight="1"/>
    <row r="424" s="7" customFormat="1" ht="13.5" customHeight="1"/>
    <row r="425" s="7" customFormat="1" ht="13.5" customHeight="1"/>
    <row r="426" s="7" customFormat="1" ht="13.5" customHeight="1"/>
    <row r="427" s="7" customFormat="1" ht="13.5" customHeight="1"/>
    <row r="428" s="7" customFormat="1" ht="13.5" customHeight="1"/>
    <row r="429" s="7" customFormat="1" ht="13.5" customHeight="1"/>
    <row r="430" s="7" customFormat="1" ht="13.5" customHeight="1"/>
    <row r="431" s="7" customFormat="1" ht="13.5" customHeight="1"/>
    <row r="432" s="7" customFormat="1" ht="13.5" customHeight="1"/>
    <row r="433" s="7" customFormat="1" ht="13.5" customHeight="1"/>
    <row r="434" s="7" customFormat="1" ht="13.5" customHeight="1"/>
    <row r="435" s="7" customFormat="1" ht="13.5" customHeight="1"/>
    <row r="436" s="7" customFormat="1" ht="13.5" customHeight="1"/>
    <row r="437" s="7" customFormat="1" ht="13.5" customHeight="1"/>
    <row r="438" s="7" customFormat="1" ht="13.5" customHeight="1"/>
    <row r="439" s="7" customFormat="1" ht="13.5" customHeight="1"/>
    <row r="440" s="7" customFormat="1" ht="13.5" customHeight="1"/>
    <row r="441" s="7" customFormat="1" ht="13.5" customHeight="1"/>
    <row r="442" s="7" customFormat="1" ht="13.5" customHeight="1"/>
    <row r="443" s="7" customFormat="1" ht="13.5" customHeight="1"/>
    <row r="444" s="7" customFormat="1" ht="13.5" customHeight="1"/>
    <row r="445" s="7" customFormat="1" ht="13.5" customHeight="1"/>
    <row r="446" s="7" customFormat="1" ht="13.5" customHeight="1"/>
    <row r="447" s="7" customFormat="1" ht="13.5" customHeight="1"/>
    <row r="448" s="7" customFormat="1" ht="13.5" customHeight="1"/>
    <row r="449" s="7" customFormat="1" ht="13.5" customHeight="1"/>
    <row r="450" s="7" customFormat="1" ht="13.5" customHeight="1"/>
    <row r="451" s="7" customFormat="1" ht="13.5" customHeight="1"/>
    <row r="452" s="7" customFormat="1" ht="13.5" customHeight="1"/>
    <row r="453" s="7" customFormat="1" ht="13.5" customHeight="1"/>
    <row r="454" s="7" customFormat="1" ht="13.5" customHeight="1"/>
    <row r="455" s="7" customFormat="1" ht="13.5" customHeight="1"/>
    <row r="456" s="7" customFormat="1" ht="13.5" customHeight="1"/>
    <row r="457" s="7" customFormat="1" ht="13.5" customHeight="1"/>
    <row r="458" s="7" customFormat="1" ht="13.5" customHeight="1"/>
    <row r="459" s="7" customFormat="1" ht="13.5" customHeight="1"/>
    <row r="460" s="7" customFormat="1" ht="13.5" customHeight="1"/>
    <row r="461" s="7" customFormat="1" ht="13.5" customHeight="1"/>
    <row r="462" s="7" customFormat="1" ht="13.5" customHeight="1"/>
    <row r="463" s="7" customFormat="1" ht="13.5" customHeight="1"/>
    <row r="464" s="7" customFormat="1" ht="13.5" customHeight="1"/>
    <row r="465" s="7" customFormat="1" ht="13.5" customHeight="1"/>
    <row r="466" s="7" customFormat="1" ht="13.5" customHeight="1"/>
    <row r="467" s="7" customFormat="1" ht="13.5" customHeight="1"/>
    <row r="468" s="7" customFormat="1" ht="13.5" customHeight="1"/>
    <row r="469" s="7" customFormat="1" ht="13.5" customHeight="1"/>
    <row r="470" s="7" customFormat="1" ht="13.5" customHeight="1"/>
    <row r="471" s="7" customFormat="1" ht="13.5" customHeight="1"/>
    <row r="472" s="7" customFormat="1" ht="13.5" customHeight="1"/>
    <row r="473" s="7" customFormat="1" ht="13.5" customHeight="1"/>
    <row r="474" s="7" customFormat="1" ht="13.5" customHeight="1"/>
    <row r="475" s="7" customFormat="1" ht="13.5" customHeight="1"/>
    <row r="476" s="7" customFormat="1" ht="13.5" customHeight="1"/>
    <row r="477" s="7" customFormat="1" ht="13.5" customHeight="1"/>
    <row r="478" s="7" customFormat="1" ht="13.5" customHeight="1"/>
    <row r="479" s="7" customFormat="1" ht="13.5" customHeight="1"/>
    <row r="480" s="7" customFormat="1" ht="13.5" customHeight="1"/>
    <row r="481" s="7" customFormat="1" ht="13.5" customHeight="1"/>
    <row r="482" s="7" customFormat="1" ht="13.5" customHeight="1"/>
    <row r="483" s="7" customFormat="1" ht="13.5" customHeight="1"/>
    <row r="484" s="7" customFormat="1" ht="13.5" customHeight="1"/>
    <row r="485" s="7" customFormat="1" ht="13.5" customHeight="1"/>
    <row r="486" s="7" customFormat="1" ht="13.5" customHeight="1"/>
    <row r="487" s="7" customFormat="1" ht="13.5" customHeight="1"/>
    <row r="488" s="7" customFormat="1" ht="13.5" customHeight="1"/>
    <row r="489" s="7" customFormat="1" ht="13.5" customHeight="1"/>
    <row r="490" s="7" customFormat="1" ht="13.5" customHeight="1"/>
    <row r="491" s="7" customFormat="1" ht="13.5" customHeight="1"/>
    <row r="492" s="7" customFormat="1" ht="13.5" customHeight="1"/>
    <row r="493" s="7" customFormat="1" ht="13.5" customHeight="1"/>
    <row r="494" s="7" customFormat="1" ht="13.5" customHeight="1"/>
    <row r="495" s="7" customFormat="1" ht="13.5" customHeight="1"/>
    <row r="496" s="7" customFormat="1" ht="13.5" customHeight="1"/>
    <row r="497" s="7" customFormat="1" ht="13.5" customHeight="1"/>
    <row r="498" s="7" customFormat="1" ht="13.5" customHeight="1"/>
    <row r="499" s="7" customFormat="1" ht="13.5" customHeight="1"/>
    <row r="500" s="7" customFormat="1" ht="13.5" customHeight="1"/>
    <row r="501" s="7" customFormat="1" ht="13.5" customHeight="1"/>
    <row r="502" s="7" customFormat="1" ht="13.5" customHeight="1"/>
    <row r="503" s="7" customFormat="1" ht="13.5" customHeight="1"/>
    <row r="504" s="7" customFormat="1" ht="13.5" customHeight="1"/>
    <row r="505" s="7" customFormat="1" ht="13.5" customHeight="1"/>
    <row r="506" s="7" customFormat="1" ht="13.5" customHeight="1"/>
    <row r="507" s="7" customFormat="1" ht="13.5" customHeight="1"/>
    <row r="508" s="7" customFormat="1" ht="13.5" customHeight="1"/>
    <row r="509" s="7" customFormat="1" ht="13.5" customHeight="1"/>
    <row r="510" s="7" customFormat="1" ht="13.5" customHeight="1"/>
    <row r="511" s="7" customFormat="1" ht="13.5" customHeight="1"/>
    <row r="512" s="7" customFormat="1" ht="13.5" customHeight="1"/>
    <row r="513" s="7" customFormat="1" ht="13.5" customHeight="1"/>
    <row r="514" s="7" customFormat="1" ht="13.5" customHeight="1"/>
    <row r="515" s="7" customFormat="1" ht="13.5" customHeight="1"/>
    <row r="516" s="7" customFormat="1" ht="13.5" customHeight="1"/>
    <row r="517" s="7" customFormat="1" ht="13.5" customHeight="1"/>
    <row r="518" s="7" customFormat="1" ht="13.5" customHeight="1"/>
    <row r="519" s="7" customFormat="1" ht="13.5" customHeight="1"/>
    <row r="520" s="7" customFormat="1" ht="13.5" customHeight="1"/>
    <row r="521" s="7" customFormat="1" ht="13.5" customHeight="1"/>
    <row r="522" s="7" customFormat="1" ht="13.5" customHeight="1"/>
    <row r="523" s="7" customFormat="1" ht="13.5" customHeight="1"/>
    <row r="524" s="7" customFormat="1" ht="13.5" customHeight="1"/>
    <row r="525" s="7" customFormat="1" ht="13.5" customHeight="1"/>
    <row r="526" s="7" customFormat="1" ht="13.5" customHeight="1"/>
    <row r="527" s="7" customFormat="1" ht="13.5" customHeight="1"/>
    <row r="528" s="7" customFormat="1" ht="13.5" customHeight="1"/>
    <row r="529" s="7" customFormat="1" ht="13.5" customHeight="1"/>
    <row r="530" s="7" customFormat="1" ht="13.5" customHeight="1"/>
    <row r="531" s="7" customFormat="1" ht="13.5" customHeight="1"/>
    <row r="532" s="7" customFormat="1" ht="13.5" customHeight="1"/>
    <row r="533" s="7" customFormat="1" ht="13.5" customHeight="1"/>
    <row r="534" s="7" customFormat="1" ht="13.5" customHeight="1"/>
    <row r="535" s="7" customFormat="1" ht="13.5" customHeight="1"/>
    <row r="536" s="7" customFormat="1" ht="13.5" customHeight="1"/>
    <row r="537" s="7" customFormat="1" ht="13.5" customHeight="1"/>
    <row r="538" s="7" customFormat="1" ht="13.5" customHeight="1"/>
    <row r="539" s="7" customFormat="1" ht="13.5" customHeight="1"/>
    <row r="540" s="7" customFormat="1" ht="13.5" customHeight="1"/>
    <row r="541" s="7" customFormat="1" ht="13.5" customHeight="1"/>
    <row r="542" s="7" customFormat="1" ht="13.5" customHeight="1"/>
    <row r="543" s="7" customFormat="1" ht="13.5" customHeight="1"/>
    <row r="544" s="7" customFormat="1" ht="13.5" customHeight="1"/>
    <row r="545" s="7" customFormat="1" ht="13.5" customHeight="1"/>
    <row r="546" s="7" customFormat="1" ht="13.5" customHeight="1"/>
    <row r="547" s="7" customFormat="1" ht="13.5" customHeight="1"/>
    <row r="548" s="7" customFormat="1" ht="13.5" customHeight="1"/>
    <row r="549" s="7" customFormat="1" ht="13.5" customHeight="1"/>
    <row r="550" s="7" customFormat="1" ht="13.5" customHeight="1"/>
    <row r="551" s="7" customFormat="1" ht="13.5" customHeight="1"/>
    <row r="552" s="7" customFormat="1" ht="13.5" customHeight="1"/>
    <row r="553" s="7" customFormat="1" ht="13.5" customHeight="1"/>
    <row r="554" s="7" customFormat="1" ht="13.5" customHeight="1"/>
    <row r="555" s="7" customFormat="1" ht="13.5" customHeight="1"/>
    <row r="556" s="7" customFormat="1" ht="13.5" customHeight="1"/>
    <row r="557" s="7" customFormat="1" ht="13.5" customHeight="1"/>
    <row r="558" s="7" customFormat="1" ht="13.5" customHeight="1"/>
    <row r="559" s="7" customFormat="1" ht="13.5" customHeight="1"/>
    <row r="560" s="7" customFormat="1" ht="13.5" customHeight="1"/>
    <row r="561" s="7" customFormat="1" ht="13.5" customHeight="1"/>
    <row r="562" s="7" customFormat="1" ht="13.5" customHeight="1"/>
    <row r="563" s="7" customFormat="1" ht="13.5" customHeight="1"/>
    <row r="564" s="7" customFormat="1" ht="13.5" customHeight="1"/>
    <row r="565" s="7" customFormat="1" ht="13.5" customHeight="1"/>
    <row r="566" s="7" customFormat="1" ht="13.5" customHeight="1"/>
    <row r="567" s="7" customFormat="1" ht="13.5" customHeight="1"/>
    <row r="568" s="7" customFormat="1" ht="13.5" customHeight="1"/>
    <row r="569" s="7" customFormat="1" ht="13.5" customHeight="1"/>
    <row r="570" s="7" customFormat="1" ht="13.5" customHeight="1"/>
    <row r="571" s="7" customFormat="1" ht="13.5" customHeight="1"/>
    <row r="572" s="7" customFormat="1" ht="13.5" customHeight="1"/>
    <row r="573" s="7" customFormat="1" ht="13.5" customHeight="1"/>
    <row r="574" s="7" customFormat="1" ht="13.5" customHeight="1"/>
    <row r="575" s="7" customFormat="1" ht="13.5" customHeight="1"/>
    <row r="576" s="7" customFormat="1" ht="13.5" customHeight="1"/>
    <row r="577" s="7" customFormat="1" ht="13.5" customHeight="1"/>
    <row r="578" s="7" customFormat="1" ht="13.5" customHeight="1"/>
    <row r="579" s="7" customFormat="1" ht="13.5" customHeight="1"/>
    <row r="580" s="7" customFormat="1" ht="13.5" customHeight="1"/>
    <row r="581" s="7" customFormat="1" ht="13.5" customHeight="1"/>
    <row r="582" s="7" customFormat="1" ht="13.5" customHeight="1"/>
    <row r="583" s="7" customFormat="1" ht="13.5" customHeight="1"/>
    <row r="584" s="7" customFormat="1" ht="13.5" customHeight="1"/>
    <row r="585" s="7" customFormat="1" ht="13.5" customHeight="1"/>
    <row r="586" s="7" customFormat="1" ht="13.5" customHeight="1"/>
    <row r="587" s="7" customFormat="1" ht="13.5" customHeight="1"/>
    <row r="588" s="7" customFormat="1" ht="13.5" customHeight="1"/>
    <row r="589" s="7" customFormat="1" ht="13.5" customHeight="1"/>
    <row r="590" s="7" customFormat="1" ht="13.5" customHeight="1"/>
    <row r="591" s="7" customFormat="1" ht="13.5" customHeight="1"/>
    <row r="592" s="7" customFormat="1" ht="13.5" customHeight="1"/>
    <row r="593" s="7" customFormat="1" ht="13.5" customHeight="1"/>
    <row r="594" s="7" customFormat="1" ht="13.5" customHeight="1"/>
    <row r="595" s="7" customFormat="1" ht="13.5" customHeight="1"/>
    <row r="596" s="7" customFormat="1" ht="13.5" customHeight="1"/>
    <row r="597" s="7" customFormat="1" ht="13.5" customHeight="1"/>
    <row r="598" s="7" customFormat="1" ht="13.5" customHeight="1"/>
    <row r="599" s="7" customFormat="1" ht="13.5" customHeight="1"/>
    <row r="600" s="7" customFormat="1" ht="13.5" customHeight="1"/>
    <row r="601" s="7" customFormat="1" ht="13.5" customHeight="1"/>
    <row r="602" s="7" customFormat="1" ht="13.5" customHeight="1"/>
    <row r="603" s="7" customFormat="1" ht="13.5" customHeight="1"/>
    <row r="604" s="7" customFormat="1" ht="13.5" customHeight="1"/>
    <row r="605" s="7" customFormat="1" ht="13.5" customHeight="1"/>
    <row r="606" s="7" customFormat="1" ht="13.5" customHeight="1"/>
    <row r="607" s="7" customFormat="1" ht="13.5" customHeight="1"/>
    <row r="608" s="7" customFormat="1" ht="13.5" customHeight="1"/>
    <row r="609" s="7" customFormat="1" ht="13.5" customHeight="1"/>
    <row r="610" s="7" customFormat="1" ht="13.5" customHeight="1"/>
    <row r="611" s="7" customFormat="1" ht="13.5" customHeight="1"/>
    <row r="612" s="7" customFormat="1" ht="13.5" customHeight="1"/>
    <row r="613" s="7" customFormat="1" ht="13.5" customHeight="1"/>
    <row r="614" s="7" customFormat="1" ht="13.5" customHeight="1"/>
    <row r="615" s="7" customFormat="1" ht="13.5" customHeight="1"/>
    <row r="616" s="7" customFormat="1" ht="13.5" customHeight="1"/>
    <row r="617" s="7" customFormat="1" ht="13.5" customHeight="1"/>
    <row r="618" s="7" customFormat="1" ht="13.5" customHeight="1"/>
    <row r="619" s="7" customFormat="1" ht="13.5" customHeight="1"/>
    <row r="620" s="7" customFormat="1" ht="13.5" customHeight="1"/>
    <row r="621" s="7" customFormat="1" ht="13.5" customHeight="1"/>
    <row r="622" s="7" customFormat="1" ht="13.5" customHeight="1"/>
    <row r="623" s="7" customFormat="1" ht="13.5" customHeight="1"/>
    <row r="624" s="7" customFormat="1" ht="13.5" customHeight="1"/>
    <row r="625" s="7" customFormat="1" ht="13.5" customHeight="1"/>
    <row r="626" s="7" customFormat="1" ht="13.5" customHeight="1"/>
    <row r="627" s="7" customFormat="1" ht="13.5" customHeight="1"/>
    <row r="628" s="7" customFormat="1" ht="13.5" customHeight="1"/>
    <row r="629" s="7" customFormat="1" ht="13.5" customHeight="1"/>
    <row r="630" s="7" customFormat="1" ht="13.5" customHeight="1"/>
    <row r="631" s="7" customFormat="1" ht="13.5" customHeight="1"/>
    <row r="632" s="7" customFormat="1" ht="13.5" customHeight="1"/>
    <row r="633" s="7" customFormat="1" ht="13.5" customHeight="1"/>
    <row r="634" s="7" customFormat="1" ht="13.5" customHeight="1"/>
    <row r="635" s="7" customFormat="1" ht="13.5" customHeight="1"/>
    <row r="636" s="7" customFormat="1" ht="13.5" customHeight="1"/>
    <row r="637" s="7" customFormat="1" ht="13.5" customHeight="1"/>
    <row r="638" s="7" customFormat="1" ht="13.5" customHeight="1"/>
    <row r="639" s="7" customFormat="1" ht="13.5" customHeight="1"/>
    <row r="640" s="7" customFormat="1" ht="13.5" customHeight="1"/>
    <row r="641" s="7" customFormat="1" ht="13.5" customHeight="1"/>
    <row r="642" s="7" customFormat="1" ht="13.5" customHeight="1"/>
    <row r="643" s="7" customFormat="1" ht="13.5" customHeight="1"/>
    <row r="644" s="7" customFormat="1" ht="13.5" customHeight="1"/>
    <row r="645" s="7" customFormat="1" ht="13.5" customHeight="1"/>
    <row r="646" s="7" customFormat="1" ht="13.5" customHeight="1"/>
    <row r="647" s="7" customFormat="1" ht="13.5" customHeight="1"/>
    <row r="648" s="7" customFormat="1" ht="13.5" customHeight="1"/>
    <row r="649" s="7" customFormat="1" ht="13.5" customHeight="1"/>
    <row r="650" s="7" customFormat="1" ht="13.5" customHeight="1"/>
    <row r="651" s="7" customFormat="1" ht="13.5" customHeight="1"/>
    <row r="652" s="7" customFormat="1" ht="13.5" customHeight="1"/>
    <row r="653" s="7" customFormat="1" ht="13.5" customHeight="1"/>
    <row r="654" s="7" customFormat="1" ht="13.5" customHeight="1"/>
    <row r="655" s="7" customFormat="1" ht="13.5" customHeight="1"/>
    <row r="656" s="7" customFormat="1" ht="13.5" customHeight="1"/>
    <row r="657" s="7" customFormat="1" ht="13.5" customHeight="1"/>
    <row r="658" s="7" customFormat="1" ht="13.5" customHeight="1"/>
    <row r="659" s="7" customFormat="1" ht="13.5" customHeight="1"/>
    <row r="660" s="7" customFormat="1" ht="13.5" customHeight="1"/>
    <row r="661" s="7" customFormat="1" ht="13.5" customHeight="1"/>
    <row r="662" s="7" customFormat="1" ht="13.5" customHeight="1"/>
    <row r="663" s="7" customFormat="1" ht="13.5" customHeight="1"/>
    <row r="664" s="7" customFormat="1" ht="13.5" customHeight="1"/>
    <row r="665" s="7" customFormat="1" ht="13.5" customHeight="1"/>
    <row r="666" s="7" customFormat="1" ht="13.5" customHeight="1"/>
    <row r="667" s="7" customFormat="1" ht="13.5" customHeight="1"/>
    <row r="668" s="7" customFormat="1" ht="13.5" customHeight="1"/>
    <row r="669" s="7" customFormat="1" ht="13.5" customHeight="1"/>
    <row r="670" s="7" customFormat="1" ht="13.5" customHeight="1"/>
    <row r="671" s="7" customFormat="1" ht="13.5" customHeight="1"/>
    <row r="672" s="7" customFormat="1" ht="13.5" customHeight="1"/>
    <row r="673" s="7" customFormat="1" ht="13.5" customHeight="1"/>
    <row r="674" s="7" customFormat="1" ht="13.5" customHeight="1"/>
    <row r="675" s="7" customFormat="1" ht="13.5" customHeight="1"/>
    <row r="676" s="7" customFormat="1" ht="13.5" customHeight="1"/>
    <row r="677" s="7" customFormat="1" ht="13.5" customHeight="1"/>
    <row r="678" s="7" customFormat="1" ht="13.5" customHeight="1"/>
    <row r="679" s="7" customFormat="1" ht="13.5" customHeight="1"/>
    <row r="680" s="7" customFormat="1" ht="13.5" customHeight="1"/>
    <row r="681" s="7" customFormat="1" ht="13.5" customHeight="1"/>
    <row r="682" s="7" customFormat="1" ht="13.5" customHeight="1"/>
    <row r="683" s="7" customFormat="1" ht="13.5" customHeight="1"/>
    <row r="684" s="7" customFormat="1" ht="13.5" customHeight="1"/>
    <row r="685" s="7" customFormat="1" ht="13.5" customHeight="1"/>
    <row r="686" s="7" customFormat="1" ht="13.5" customHeight="1"/>
    <row r="687" s="7" customFormat="1" ht="13.5" customHeight="1"/>
    <row r="688" s="7" customFormat="1" ht="13.5" customHeight="1"/>
    <row r="689" s="7" customFormat="1" ht="13.5" customHeight="1"/>
    <row r="690" s="7" customFormat="1" ht="13.5" customHeight="1"/>
    <row r="691" s="7" customFormat="1" ht="13.5" customHeight="1"/>
    <row r="692" s="7" customFormat="1" ht="13.5" customHeight="1"/>
    <row r="693" s="7" customFormat="1" ht="13.5" customHeight="1"/>
    <row r="694" s="7" customFormat="1" ht="13.5" customHeight="1"/>
    <row r="695" s="7" customFormat="1" ht="13.5" customHeight="1"/>
    <row r="696" s="7" customFormat="1" ht="13.5" customHeight="1"/>
    <row r="697" s="7" customFormat="1" ht="13.5" customHeight="1"/>
    <row r="698" s="7" customFormat="1" ht="13.5" customHeight="1"/>
    <row r="699" s="7" customFormat="1" ht="13.5" customHeight="1"/>
    <row r="700" s="7" customFormat="1" ht="13.5" customHeight="1"/>
    <row r="701" s="7" customFormat="1" ht="13.5" customHeight="1"/>
    <row r="702" s="7" customFormat="1" ht="13.5" customHeight="1"/>
    <row r="703" s="7" customFormat="1" ht="13.5" customHeight="1"/>
    <row r="704" s="7" customFormat="1" ht="13.5" customHeight="1"/>
    <row r="705" s="7" customFormat="1" ht="13.5" customHeight="1"/>
    <row r="706" s="7" customFormat="1" ht="13.5" customHeight="1"/>
    <row r="707" s="7" customFormat="1" ht="13.5" customHeight="1"/>
    <row r="708" s="7" customFormat="1" ht="13.5" customHeight="1"/>
    <row r="709" s="7" customFormat="1" ht="13.5" customHeight="1"/>
    <row r="710" s="7" customFormat="1" ht="13.5" customHeight="1"/>
    <row r="711" s="7" customFormat="1" ht="13.5" customHeight="1"/>
    <row r="712" s="7" customFormat="1" ht="13.5" customHeight="1"/>
    <row r="713" s="7" customFormat="1" ht="13.5" customHeight="1"/>
    <row r="714" s="7" customFormat="1" ht="13.5" customHeight="1"/>
    <row r="715" s="7" customFormat="1" ht="13.5" customHeight="1"/>
    <row r="716" s="7" customFormat="1" ht="13.5" customHeight="1"/>
    <row r="717" s="7" customFormat="1" ht="13.5" customHeight="1"/>
    <row r="718" s="7" customFormat="1" ht="13.5" customHeight="1"/>
    <row r="719" s="7" customFormat="1" ht="13.5" customHeight="1"/>
    <row r="720" s="7" customFormat="1" ht="13.5" customHeight="1"/>
    <row r="721" s="7" customFormat="1" ht="13.5" customHeight="1"/>
    <row r="722" s="7" customFormat="1" ht="13.5" customHeight="1"/>
    <row r="723" s="7" customFormat="1" ht="13.5" customHeight="1"/>
    <row r="724" s="7" customFormat="1" ht="13.5" customHeight="1"/>
    <row r="725" s="7" customFormat="1" ht="13.5" customHeight="1"/>
    <row r="726" s="7" customFormat="1" ht="13.5" customHeight="1"/>
    <row r="727" s="7" customFormat="1" ht="13.5" customHeight="1"/>
    <row r="728" s="7" customFormat="1" ht="13.5" customHeight="1"/>
    <row r="729" s="7" customFormat="1" ht="13.5" customHeight="1"/>
    <row r="730" s="7" customFormat="1" ht="13.5" customHeight="1"/>
    <row r="731" s="7" customFormat="1" ht="13.5" customHeight="1"/>
    <row r="732" s="7" customFormat="1" ht="13.5" customHeight="1"/>
    <row r="733" s="7" customFormat="1" ht="13.5" customHeight="1"/>
    <row r="734" s="7" customFormat="1" ht="13.5" customHeight="1"/>
    <row r="735" s="7" customFormat="1" ht="13.5" customHeight="1"/>
    <row r="736" s="7" customFormat="1" ht="13.5" customHeight="1"/>
    <row r="737" s="7" customFormat="1" ht="13.5" customHeight="1"/>
    <row r="738" s="7" customFormat="1" ht="13.5" customHeight="1"/>
    <row r="739" s="7" customFormat="1" ht="13.5" customHeight="1"/>
    <row r="740" s="7" customFormat="1" ht="13.5" customHeight="1"/>
    <row r="741" s="7" customFormat="1" ht="13.5" customHeight="1"/>
    <row r="742" s="7" customFormat="1" ht="13.5" customHeight="1"/>
    <row r="743" s="7" customFormat="1" ht="13.5" customHeight="1"/>
    <row r="744" s="7" customFormat="1" ht="13.5" customHeight="1"/>
    <row r="745" s="7" customFormat="1" ht="13.5" customHeight="1"/>
    <row r="746" s="7" customFormat="1" ht="13.5" customHeight="1"/>
    <row r="747" s="7" customFormat="1" ht="13.5" customHeight="1"/>
    <row r="748" s="7" customFormat="1" ht="13.5" customHeight="1"/>
    <row r="749" s="7" customFormat="1" ht="13.5" customHeight="1"/>
    <row r="750" s="7" customFormat="1" ht="13.5" customHeight="1"/>
    <row r="751" s="7" customFormat="1" ht="13.5" customHeight="1"/>
    <row r="752" s="7" customFormat="1" ht="13.5" customHeight="1"/>
    <row r="753" s="7" customFormat="1" ht="13.5" customHeight="1"/>
    <row r="754" s="7" customFormat="1" ht="13.5" customHeight="1"/>
    <row r="755" s="7" customFormat="1" ht="13.5" customHeight="1"/>
    <row r="756" s="7" customFormat="1" ht="13.5" customHeight="1"/>
    <row r="757" s="7" customFormat="1" ht="13.5" customHeight="1"/>
    <row r="758" s="7" customFormat="1" ht="13.5" customHeight="1"/>
    <row r="759" s="7" customFormat="1" ht="13.5" customHeight="1"/>
    <row r="760" s="7" customFormat="1" ht="13.5" customHeight="1"/>
    <row r="761" s="7" customFormat="1" ht="13.5" customHeight="1"/>
    <row r="762" s="7" customFormat="1" ht="13.5" customHeight="1"/>
    <row r="763" s="7" customFormat="1" ht="13.5" customHeight="1"/>
    <row r="764" s="7" customFormat="1" ht="13.5" customHeight="1"/>
    <row r="765" s="7" customFormat="1" ht="13.5" customHeight="1"/>
    <row r="766" s="7" customFormat="1" ht="13.5" customHeight="1"/>
    <row r="767" s="7" customFormat="1" ht="13.5" customHeight="1"/>
    <row r="768" s="7" customFormat="1" ht="13.5" customHeight="1"/>
    <row r="769" s="7" customFormat="1" ht="13.5" customHeight="1"/>
    <row r="770" s="7" customFormat="1" ht="13.5" customHeight="1"/>
    <row r="771" s="7" customFormat="1" ht="13.5" customHeight="1"/>
    <row r="772" s="7" customFormat="1" ht="13.5" customHeight="1"/>
    <row r="773" s="7" customFormat="1" ht="13.5" customHeight="1"/>
    <row r="774" s="7" customFormat="1" ht="13.5" customHeight="1"/>
    <row r="775" s="7" customFormat="1" ht="13.5" customHeight="1"/>
    <row r="776" s="7" customFormat="1" ht="13.5" customHeight="1"/>
    <row r="777" s="7" customFormat="1" ht="13.5" customHeight="1"/>
    <row r="778" s="7" customFormat="1" ht="13.5" customHeight="1"/>
    <row r="779" s="7" customFormat="1" ht="13.5" customHeight="1"/>
    <row r="780" s="7" customFormat="1" ht="13.5" customHeight="1"/>
    <row r="781" s="7" customFormat="1" ht="13.5" customHeight="1"/>
    <row r="782" s="7" customFormat="1" ht="13.5" customHeight="1"/>
    <row r="783" s="7" customFormat="1" ht="13.5" customHeight="1"/>
    <row r="784" s="7" customFormat="1" ht="13.5" customHeight="1"/>
    <row r="785" s="7" customFormat="1" ht="13.5" customHeight="1"/>
    <row r="786" s="7" customFormat="1" ht="13.5" customHeight="1"/>
    <row r="787" s="7" customFormat="1" ht="13.5" customHeight="1"/>
    <row r="788" s="7" customFormat="1" ht="13.5" customHeight="1"/>
    <row r="789" s="7" customFormat="1" ht="13.5" customHeight="1"/>
    <row r="790" s="7" customFormat="1" ht="13.5" customHeight="1"/>
    <row r="791" s="7" customFormat="1" ht="13.5" customHeight="1"/>
    <row r="792" s="7" customFormat="1" ht="13.5" customHeight="1"/>
    <row r="793" s="7" customFormat="1" ht="13.5" customHeight="1"/>
    <row r="794" s="7" customFormat="1" ht="13.5" customHeight="1"/>
    <row r="795" s="7" customFormat="1" ht="13.5" customHeight="1"/>
    <row r="796" s="7" customFormat="1" ht="13.5" customHeight="1"/>
    <row r="797" s="7" customFormat="1" ht="13.5" customHeight="1"/>
    <row r="798" s="7" customFormat="1" ht="13.5" customHeight="1"/>
    <row r="799" s="7" customFormat="1" ht="13.5" customHeight="1"/>
    <row r="800" s="7" customFormat="1" ht="13.5" customHeight="1"/>
    <row r="801" s="7" customFormat="1" ht="13.5" customHeight="1"/>
    <row r="802" s="7" customFormat="1" ht="13.5" customHeight="1"/>
    <row r="803" s="7" customFormat="1" ht="13.5" customHeight="1"/>
    <row r="804" s="7" customFormat="1" ht="13.5" customHeight="1"/>
    <row r="805" s="7" customFormat="1" ht="13.5" customHeight="1"/>
    <row r="806" s="7" customFormat="1" ht="13.5" customHeight="1"/>
    <row r="807" s="7" customFormat="1" ht="13.5" customHeight="1"/>
    <row r="808" s="7" customFormat="1" ht="13.5" customHeight="1"/>
    <row r="809" s="7" customFormat="1" ht="13.5" customHeight="1"/>
    <row r="810" s="7" customFormat="1" ht="13.5" customHeight="1"/>
    <row r="811" s="7" customFormat="1" ht="13.5" customHeight="1"/>
    <row r="812" s="7" customFormat="1" ht="13.5" customHeight="1"/>
    <row r="813" s="7" customFormat="1" ht="13.5" customHeight="1"/>
    <row r="814" s="7" customFormat="1" ht="13.5" customHeight="1"/>
    <row r="815" s="7" customFormat="1" ht="13.5" customHeight="1"/>
    <row r="816" s="7" customFormat="1" ht="13.5" customHeight="1"/>
    <row r="817" s="7" customFormat="1" ht="13.5" customHeight="1"/>
    <row r="818" s="7" customFormat="1" ht="13.5" customHeight="1"/>
    <row r="819" s="7" customFormat="1" ht="13.5" customHeight="1"/>
    <row r="820" s="7" customFormat="1" ht="13.5" customHeight="1"/>
    <row r="821" s="7" customFormat="1" ht="13.5" customHeight="1"/>
    <row r="822" s="7" customFormat="1" ht="13.5" customHeight="1"/>
    <row r="823" s="7" customFormat="1" ht="13.5" customHeight="1"/>
    <row r="824" s="7" customFormat="1" ht="13.5" customHeight="1"/>
    <row r="825" s="7" customFormat="1" ht="13.5" customHeight="1"/>
    <row r="826" s="7" customFormat="1" ht="13.5" customHeight="1"/>
    <row r="827" s="7" customFormat="1" ht="13.5" customHeight="1"/>
    <row r="828" s="7" customFormat="1" ht="13.5" customHeight="1"/>
    <row r="829" s="7" customFormat="1" ht="13.5" customHeight="1"/>
    <row r="830" s="7" customFormat="1" ht="13.5" customHeight="1"/>
    <row r="831" s="7" customFormat="1" ht="13.5" customHeight="1"/>
    <row r="832" s="7" customFormat="1" ht="13.5" customHeight="1"/>
    <row r="833" s="7" customFormat="1" ht="13.5" customHeight="1"/>
    <row r="834" s="7" customFormat="1" ht="13.5" customHeight="1"/>
    <row r="835" s="7" customFormat="1" ht="13.5" customHeight="1"/>
    <row r="836" s="7" customFormat="1" ht="13.5" customHeight="1"/>
    <row r="837" s="7" customFormat="1" ht="13.5" customHeight="1"/>
    <row r="838" s="7" customFormat="1" ht="13.5" customHeight="1"/>
    <row r="839" s="7" customFormat="1" ht="13.5" customHeight="1"/>
    <row r="840" s="7" customFormat="1" ht="13.5" customHeight="1"/>
    <row r="841" s="7" customFormat="1" ht="13.5" customHeight="1"/>
    <row r="842" s="7" customFormat="1" ht="13.5" customHeight="1"/>
    <row r="843" s="7" customFormat="1" ht="13.5" customHeight="1"/>
    <row r="844" s="7" customFormat="1" ht="13.5" customHeight="1"/>
    <row r="845" s="7" customFormat="1" ht="13.5" customHeight="1"/>
    <row r="846" s="7" customFormat="1" ht="13.5" customHeight="1"/>
    <row r="847" s="7" customFormat="1" ht="13.5" customHeight="1"/>
    <row r="848" s="7" customFormat="1" ht="13.5" customHeight="1"/>
    <row r="849" s="7" customFormat="1" ht="13.5" customHeight="1"/>
    <row r="850" s="7" customFormat="1" ht="13.5" customHeight="1"/>
    <row r="851" s="7" customFormat="1" ht="13.5" customHeight="1"/>
    <row r="852" s="7" customFormat="1" ht="13.5" customHeight="1"/>
    <row r="853" s="7" customFormat="1" ht="13.5" customHeight="1"/>
    <row r="854" s="7" customFormat="1" ht="13.5" customHeight="1"/>
    <row r="855" s="7" customFormat="1" ht="13.5" customHeight="1"/>
    <row r="856" s="7" customFormat="1" ht="13.5" customHeight="1"/>
    <row r="857" s="7" customFormat="1" ht="13.5" customHeight="1"/>
    <row r="858" s="7" customFormat="1" ht="13.5" customHeight="1"/>
    <row r="859" s="7" customFormat="1" ht="13.5" customHeight="1"/>
    <row r="860" s="7" customFormat="1" ht="13.5" customHeight="1"/>
    <row r="861" s="7" customFormat="1" ht="13.5" customHeight="1"/>
    <row r="862" s="7" customFormat="1" ht="13.5" customHeight="1"/>
    <row r="863" s="7" customFormat="1" ht="13.5" customHeight="1"/>
    <row r="864" s="7" customFormat="1" ht="13.5" customHeight="1"/>
    <row r="865" s="7" customFormat="1" ht="13.5" customHeight="1"/>
    <row r="866" s="7" customFormat="1" ht="13.5" customHeight="1"/>
    <row r="867" s="7" customFormat="1" ht="13.5" customHeight="1"/>
    <row r="868" s="7" customFormat="1" ht="13.5" customHeight="1"/>
    <row r="869" s="7" customFormat="1" ht="13.5" customHeight="1"/>
    <row r="870" s="7" customFormat="1" ht="13.5" customHeight="1"/>
    <row r="871" s="7" customFormat="1" ht="13.5" customHeight="1"/>
    <row r="872" s="7" customFormat="1" ht="13.5" customHeight="1"/>
    <row r="873" s="7" customFormat="1" ht="13.5" customHeight="1"/>
    <row r="874" s="7" customFormat="1" ht="13.5" customHeight="1"/>
    <row r="875" s="7" customFormat="1" ht="13.5" customHeight="1"/>
    <row r="876" s="7" customFormat="1" ht="13.5" customHeight="1"/>
    <row r="877" s="7" customFormat="1" ht="13.5" customHeight="1"/>
    <row r="878" s="7" customFormat="1" ht="13.5" customHeight="1"/>
    <row r="879" s="7" customFormat="1" ht="13.5" customHeight="1"/>
    <row r="880" s="7" customFormat="1" ht="13.5" customHeight="1"/>
    <row r="881" s="7" customFormat="1" ht="13.5" customHeight="1"/>
    <row r="882" s="7" customFormat="1" ht="13.5" customHeight="1"/>
    <row r="883" s="7" customFormat="1" ht="13.5" customHeight="1"/>
    <row r="884" s="7" customFormat="1" ht="13.5" customHeight="1"/>
    <row r="885" s="7" customFormat="1" ht="13.5" customHeight="1"/>
    <row r="886" s="7" customFormat="1" ht="13.5" customHeight="1"/>
    <row r="887" s="7" customFormat="1" ht="13.5" customHeight="1"/>
    <row r="888" s="7" customFormat="1" ht="13.5" customHeight="1"/>
    <row r="889" s="7" customFormat="1" ht="13.5" customHeight="1"/>
    <row r="890" s="7" customFormat="1" ht="13.5" customHeight="1"/>
    <row r="891" s="7" customFormat="1" ht="13.5" customHeight="1"/>
    <row r="892" s="7" customFormat="1" ht="13.5" customHeight="1"/>
    <row r="893" s="7" customFormat="1" ht="13.5" customHeight="1"/>
    <row r="894" s="7" customFormat="1" ht="13.5" customHeight="1"/>
    <row r="895" s="7" customFormat="1" ht="13.5" customHeight="1"/>
    <row r="896" s="7" customFormat="1" ht="13.5" customHeight="1"/>
    <row r="897" s="7" customFormat="1" ht="13.5" customHeight="1"/>
    <row r="898" s="7" customFormat="1" ht="13.5" customHeight="1"/>
    <row r="899" s="7" customFormat="1" ht="13.5" customHeight="1"/>
    <row r="900" s="7" customFormat="1" ht="13.5" customHeight="1"/>
    <row r="901" s="7" customFormat="1" ht="13.5" customHeight="1"/>
    <row r="902" s="7" customFormat="1" ht="13.5" customHeight="1"/>
    <row r="903" s="7" customFormat="1" ht="13.5" customHeight="1"/>
    <row r="904" s="7" customFormat="1" ht="13.5" customHeight="1"/>
    <row r="905" s="7" customFormat="1" ht="13.5" customHeight="1"/>
    <row r="906" s="7" customFormat="1" ht="13.5" customHeight="1"/>
    <row r="907" s="7" customFormat="1" ht="13.5" customHeight="1"/>
    <row r="908" s="7" customFormat="1" ht="13.5" customHeight="1"/>
    <row r="909" s="7" customFormat="1" ht="13.5" customHeight="1"/>
    <row r="910" s="7" customFormat="1" ht="13.5" customHeight="1"/>
    <row r="911" s="7" customFormat="1" ht="13.5" customHeight="1"/>
    <row r="912" s="7" customFormat="1" ht="13.5" customHeight="1"/>
    <row r="913" s="7" customFormat="1" ht="13.5" customHeight="1"/>
    <row r="914" s="7" customFormat="1" ht="13.5" customHeight="1"/>
    <row r="915" s="7" customFormat="1" ht="13.5" customHeight="1"/>
    <row r="916" s="7" customFormat="1" ht="13.5" customHeight="1"/>
    <row r="917" s="7" customFormat="1" ht="13.5" customHeight="1"/>
    <row r="918" s="7" customFormat="1" ht="13.5" customHeight="1"/>
    <row r="919" s="7" customFormat="1" ht="13.5" customHeight="1"/>
    <row r="920" s="7" customFormat="1" ht="13.5" customHeight="1"/>
    <row r="921" s="7" customFormat="1" ht="13.5" customHeight="1"/>
    <row r="922" s="7" customFormat="1" ht="13.5" customHeight="1"/>
    <row r="923" s="7" customFormat="1" ht="13.5" customHeight="1"/>
    <row r="924" s="7" customFormat="1" ht="13.5" customHeight="1"/>
    <row r="925" s="7" customFormat="1" ht="13.5" customHeight="1"/>
    <row r="926" s="7" customFormat="1" ht="13.5" customHeight="1"/>
    <row r="927" s="7" customFormat="1" ht="13.5" customHeight="1"/>
    <row r="928" s="7" customFormat="1" ht="13.5" customHeight="1"/>
    <row r="929" s="7" customFormat="1" ht="13.5" customHeight="1"/>
    <row r="930" s="7" customFormat="1" ht="13.5" customHeight="1"/>
    <row r="931" s="7" customFormat="1" ht="13.5" customHeight="1"/>
    <row r="932" s="7" customFormat="1" ht="13.5" customHeight="1"/>
    <row r="933" s="7" customFormat="1" ht="13.5" customHeight="1"/>
    <row r="934" s="7" customFormat="1" ht="13.5" customHeight="1"/>
    <row r="935" s="7" customFormat="1" ht="13.5" customHeight="1"/>
    <row r="936" s="7" customFormat="1" ht="13.5" customHeight="1"/>
    <row r="937" s="7" customFormat="1" ht="13.5" customHeight="1"/>
    <row r="938" s="7" customFormat="1" ht="13.5" customHeight="1"/>
    <row r="939" s="7" customFormat="1" ht="13.5" customHeight="1"/>
    <row r="940" s="7" customFormat="1" ht="13.5" customHeight="1"/>
    <row r="941" s="7" customFormat="1" ht="13.5" customHeight="1"/>
    <row r="942" s="7" customFormat="1" ht="13.5" customHeight="1"/>
    <row r="943" s="7" customFormat="1" ht="13.5" customHeight="1"/>
    <row r="944" s="7" customFormat="1" ht="13.5" customHeight="1"/>
    <row r="945" s="7" customFormat="1" ht="13.5" customHeight="1"/>
    <row r="946" s="7" customFormat="1" ht="13.5" customHeight="1"/>
    <row r="947" s="7" customFormat="1" ht="13.5" customHeight="1"/>
    <row r="948" s="7" customFormat="1" ht="13.5" customHeight="1"/>
    <row r="949" s="7" customFormat="1" ht="13.5" customHeight="1"/>
    <row r="950" s="7" customFormat="1" ht="13.5" customHeight="1"/>
    <row r="951" s="7" customFormat="1" ht="13.5" customHeight="1"/>
    <row r="952" s="7" customFormat="1" ht="13.5" customHeight="1"/>
    <row r="953" s="7" customFormat="1" ht="13.5" customHeight="1"/>
    <row r="954" s="7" customFormat="1" ht="13.5" customHeight="1"/>
    <row r="955" s="7" customFormat="1" ht="13.5" customHeight="1"/>
    <row r="956" s="7" customFormat="1" ht="13.5" customHeight="1"/>
    <row r="957" s="7" customFormat="1" ht="13.5" customHeight="1"/>
    <row r="958" s="7" customFormat="1" ht="13.5" customHeight="1"/>
    <row r="959" s="7" customFormat="1" ht="13.5" customHeight="1"/>
    <row r="960" s="7" customFormat="1" ht="13.5" customHeight="1"/>
    <row r="961" s="7" customFormat="1" ht="13.5" customHeight="1"/>
    <row r="962" s="7" customFormat="1" ht="13.5" customHeight="1"/>
    <row r="963" s="7" customFormat="1" ht="13.5" customHeight="1"/>
    <row r="964" s="7" customFormat="1" ht="13.5" customHeight="1"/>
    <row r="965" s="7" customFormat="1" ht="13.5" customHeight="1"/>
    <row r="966" s="7" customFormat="1" ht="13.5" customHeight="1"/>
    <row r="967" s="7" customFormat="1" ht="13.5" customHeight="1"/>
    <row r="968" s="7" customFormat="1" ht="13.5" customHeight="1"/>
    <row r="969" s="7" customFormat="1" ht="13.5" customHeight="1"/>
    <row r="970" s="7" customFormat="1" ht="13.5" customHeight="1"/>
    <row r="971" s="7" customFormat="1" ht="13.5" customHeight="1"/>
    <row r="972" s="7" customFormat="1" ht="13.5" customHeight="1"/>
    <row r="973" s="7" customFormat="1" ht="13.5" customHeight="1"/>
    <row r="974" s="7" customFormat="1" ht="13.5" customHeight="1"/>
    <row r="975" s="7" customFormat="1" ht="13.5" customHeight="1"/>
    <row r="976" s="7" customFormat="1" ht="13.5" customHeight="1"/>
    <row r="977" s="7" customFormat="1" ht="13.5" customHeight="1"/>
    <row r="978" s="7" customFormat="1" ht="13.5" customHeight="1"/>
    <row r="979" s="7" customFormat="1" ht="13.5" customHeight="1"/>
    <row r="980" s="7" customFormat="1" ht="13.5" customHeight="1"/>
    <row r="981" s="7" customFormat="1" ht="13.5" customHeight="1"/>
    <row r="982" s="7" customFormat="1" ht="13.5" customHeight="1"/>
    <row r="983" s="7" customFormat="1" ht="13.5" customHeight="1"/>
    <row r="984" s="7" customFormat="1" ht="13.5" customHeight="1"/>
    <row r="985" s="7" customFormat="1" ht="13.5" customHeight="1"/>
    <row r="986" s="7" customFormat="1" ht="13.5" customHeight="1"/>
    <row r="987" s="7" customFormat="1" ht="13.5" customHeight="1"/>
    <row r="988" s="7" customFormat="1" ht="13.5" customHeight="1"/>
    <row r="989" s="7" customFormat="1" ht="13.5" customHeight="1"/>
    <row r="990" s="7" customFormat="1" ht="13.5" customHeight="1"/>
    <row r="991" s="7" customFormat="1" ht="13.5" customHeight="1"/>
    <row r="992" s="7" customFormat="1" ht="13.5" customHeight="1"/>
    <row r="993" s="7" customFormat="1" ht="13.5" customHeight="1"/>
    <row r="994" s="7" customFormat="1" ht="13.5" customHeight="1"/>
    <row r="995" s="7" customFormat="1" ht="13.5" customHeight="1"/>
    <row r="996" s="7" customFormat="1" ht="13.5" customHeight="1"/>
    <row r="997" s="7" customFormat="1" ht="13.5" customHeight="1"/>
    <row r="998" s="7" customFormat="1" ht="13.5" customHeight="1"/>
    <row r="999" s="7" customFormat="1" ht="13.5" customHeight="1"/>
    <row r="1000" s="7" customFormat="1" ht="13.5" customHeight="1"/>
  </sheetData>
  <mergeCells count="1">
    <mergeCell ref="A1:G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0"/>
  <sheetViews>
    <sheetView showGridLines="0" topLeftCell="A31" workbookViewId="0">
      <selection activeCell="A41" sqref="A41:XFD41"/>
    </sheetView>
  </sheetViews>
  <sheetFormatPr defaultColWidth="12.6640625" defaultRowHeight="15" customHeight="1"/>
  <cols>
    <col min="1" max="1" width="37" style="7" customWidth="1"/>
    <col min="2" max="4" width="11.6640625" style="7" customWidth="1"/>
    <col min="5" max="6" width="13.6640625" style="7" customWidth="1"/>
    <col min="7" max="7" width="10.75" style="7" customWidth="1"/>
    <col min="8" max="8" width="14.6640625" style="7" customWidth="1"/>
    <col min="9" max="9" width="15.4140625" style="7" customWidth="1"/>
    <col min="10" max="10" width="10.75" style="7" customWidth="1"/>
    <col min="11" max="11" width="10.4140625" style="7" customWidth="1"/>
    <col min="12" max="29" width="8.6640625" style="7" customWidth="1"/>
    <col min="30" max="16384" width="12.6640625" style="7"/>
  </cols>
  <sheetData>
    <row r="1" spans="1:12" ht="13.5" customHeight="1">
      <c r="A1" s="3" t="s">
        <v>43</v>
      </c>
      <c r="B1" s="4"/>
      <c r="C1" s="4"/>
      <c r="D1" s="4"/>
      <c r="E1" s="4"/>
      <c r="F1" s="4"/>
      <c r="G1" s="4"/>
      <c r="H1" s="330"/>
      <c r="I1" s="330"/>
      <c r="J1" s="6"/>
    </row>
    <row r="2" spans="1:12" ht="13.5" customHeight="1">
      <c r="G2" s="68"/>
      <c r="J2" s="331" t="s">
        <v>1</v>
      </c>
      <c r="L2" s="67"/>
    </row>
    <row r="3" spans="1:12" ht="13.5" customHeight="1">
      <c r="A3" s="67"/>
      <c r="J3" s="331"/>
      <c r="L3" s="67"/>
    </row>
    <row r="4" spans="1:12" ht="13.5" customHeight="1">
      <c r="A4" s="332"/>
      <c r="B4" s="333" t="s">
        <v>2</v>
      </c>
      <c r="C4" s="117"/>
      <c r="D4" s="118"/>
      <c r="E4" s="333" t="s">
        <v>3</v>
      </c>
      <c r="F4" s="117"/>
      <c r="G4" s="118"/>
      <c r="H4" s="333" t="s">
        <v>4</v>
      </c>
      <c r="I4" s="117"/>
      <c r="J4" s="118"/>
    </row>
    <row r="5" spans="1:12" ht="13.5" customHeight="1">
      <c r="A5" s="334"/>
      <c r="B5" s="335" t="s">
        <v>44</v>
      </c>
      <c r="C5" s="313" t="s">
        <v>45</v>
      </c>
      <c r="D5" s="336" t="s">
        <v>46</v>
      </c>
      <c r="E5" s="335" t="s">
        <v>44</v>
      </c>
      <c r="F5" s="313" t="s">
        <v>45</v>
      </c>
      <c r="G5" s="336" t="s">
        <v>46</v>
      </c>
      <c r="H5" s="335" t="s">
        <v>44</v>
      </c>
      <c r="I5" s="313" t="s">
        <v>45</v>
      </c>
      <c r="J5" s="337" t="s">
        <v>46</v>
      </c>
    </row>
    <row r="6" spans="1:12" ht="13.5" customHeight="1">
      <c r="A6" s="338" t="s">
        <v>47</v>
      </c>
      <c r="B6" s="339">
        <v>1299912.1299999999</v>
      </c>
      <c r="C6" s="340">
        <v>1236453.2</v>
      </c>
      <c r="D6" s="340">
        <v>-63458.93</v>
      </c>
      <c r="E6" s="339">
        <v>1514988.77</v>
      </c>
      <c r="F6" s="340">
        <v>1439570.48</v>
      </c>
      <c r="G6" s="341">
        <v>-75418.289999999994</v>
      </c>
      <c r="H6" s="339">
        <v>1650989.4</v>
      </c>
      <c r="I6" s="340">
        <v>1522275.68</v>
      </c>
      <c r="J6" s="340">
        <v>-128713.72</v>
      </c>
      <c r="K6" s="68"/>
    </row>
    <row r="7" spans="1:12" ht="13.5" customHeight="1">
      <c r="A7" s="342" t="s">
        <v>487</v>
      </c>
      <c r="B7" s="185">
        <v>1583822.92</v>
      </c>
      <c r="C7" s="185">
        <v>1564285.53</v>
      </c>
      <c r="D7" s="185">
        <v>-19537.39</v>
      </c>
      <c r="E7" s="185">
        <v>1734402.94</v>
      </c>
      <c r="F7" s="185">
        <v>1657215.49</v>
      </c>
      <c r="G7" s="185">
        <v>-77187.45</v>
      </c>
      <c r="H7" s="185">
        <v>2107177.12</v>
      </c>
      <c r="I7" s="185">
        <v>2083677.89</v>
      </c>
      <c r="J7" s="185">
        <v>-23499.23</v>
      </c>
    </row>
    <row r="8" spans="1:12" ht="13.5" customHeight="1">
      <c r="A8" s="342" t="s">
        <v>48</v>
      </c>
      <c r="B8" s="185">
        <v>-283910.78999999998</v>
      </c>
      <c r="C8" s="185">
        <v>-327832.33</v>
      </c>
      <c r="D8" s="185">
        <v>-43921.54</v>
      </c>
      <c r="E8" s="185">
        <v>-219414.18</v>
      </c>
      <c r="F8" s="185">
        <v>-253276.74</v>
      </c>
      <c r="G8" s="185">
        <v>-33862.559999999998</v>
      </c>
      <c r="H8" s="185">
        <v>-456187.72</v>
      </c>
      <c r="I8" s="185">
        <v>-561402.21</v>
      </c>
      <c r="J8" s="185">
        <v>-105214.49</v>
      </c>
    </row>
    <row r="9" spans="1:12" ht="13.5" customHeight="1">
      <c r="A9" s="342" t="s">
        <v>49</v>
      </c>
      <c r="B9" s="185">
        <v>682983.39</v>
      </c>
      <c r="C9" s="185">
        <v>483066.22</v>
      </c>
      <c r="D9" s="185">
        <v>-199917.17</v>
      </c>
      <c r="E9" s="185">
        <v>761705</v>
      </c>
      <c r="F9" s="185">
        <v>625780.13</v>
      </c>
      <c r="G9" s="185">
        <v>-135924.87</v>
      </c>
      <c r="H9" s="185">
        <v>670621.48</v>
      </c>
      <c r="I9" s="185">
        <v>492387.11</v>
      </c>
      <c r="J9" s="185">
        <v>-178234.37</v>
      </c>
    </row>
    <row r="10" spans="1:12" ht="13.5" customHeight="1">
      <c r="A10" s="342" t="s">
        <v>488</v>
      </c>
      <c r="B10" s="185">
        <v>484983</v>
      </c>
      <c r="C10" s="185">
        <v>334582.19</v>
      </c>
      <c r="D10" s="185">
        <v>-150400.81</v>
      </c>
      <c r="E10" s="185">
        <v>477762.82</v>
      </c>
      <c r="F10" s="185">
        <v>411648.62</v>
      </c>
      <c r="G10" s="185">
        <v>-66114.19</v>
      </c>
      <c r="H10" s="185">
        <v>390326.54</v>
      </c>
      <c r="I10" s="185">
        <v>382577.14</v>
      </c>
      <c r="J10" s="185">
        <v>-7749.4</v>
      </c>
    </row>
    <row r="11" spans="1:12" ht="13.5" customHeight="1">
      <c r="A11" s="343" t="s">
        <v>50</v>
      </c>
      <c r="B11" s="189">
        <v>-481911.18</v>
      </c>
      <c r="C11" s="189">
        <v>-476316.37</v>
      </c>
      <c r="D11" s="189">
        <v>5594.82</v>
      </c>
      <c r="E11" s="189">
        <v>-503356.35</v>
      </c>
      <c r="F11" s="189">
        <v>-467408.24</v>
      </c>
      <c r="G11" s="189">
        <v>35948.11</v>
      </c>
      <c r="H11" s="189">
        <v>-736482.66</v>
      </c>
      <c r="I11" s="189">
        <v>-671212.18</v>
      </c>
      <c r="J11" s="189">
        <v>65270.48</v>
      </c>
    </row>
    <row r="12" spans="1:12" ht="13.5" customHeight="1">
      <c r="A12" s="332"/>
      <c r="B12" s="344"/>
      <c r="C12" s="117"/>
      <c r="D12" s="117"/>
      <c r="E12" s="344"/>
      <c r="F12" s="117"/>
      <c r="G12" s="117"/>
      <c r="H12" s="344"/>
      <c r="I12" s="117"/>
      <c r="J12" s="120"/>
    </row>
    <row r="13" spans="1:12" ht="13.5" customHeight="1">
      <c r="A13" s="334"/>
      <c r="B13" s="333" t="s">
        <v>51</v>
      </c>
      <c r="C13" s="117"/>
      <c r="D13" s="118"/>
      <c r="E13" s="333" t="s">
        <v>6</v>
      </c>
      <c r="F13" s="117"/>
      <c r="G13" s="118"/>
      <c r="H13" s="345" t="s">
        <v>7</v>
      </c>
      <c r="I13" s="313"/>
      <c r="J13" s="313"/>
    </row>
    <row r="14" spans="1:12" ht="13.5" customHeight="1">
      <c r="A14" s="338"/>
      <c r="B14" s="335" t="s">
        <v>44</v>
      </c>
      <c r="C14" s="313" t="s">
        <v>45</v>
      </c>
      <c r="D14" s="336" t="s">
        <v>46</v>
      </c>
      <c r="E14" s="335" t="s">
        <v>44</v>
      </c>
      <c r="F14" s="313" t="s">
        <v>52</v>
      </c>
      <c r="G14" s="336" t="s">
        <v>46</v>
      </c>
      <c r="H14" s="346" t="s">
        <v>53</v>
      </c>
      <c r="I14" s="346" t="s">
        <v>52</v>
      </c>
      <c r="J14" s="346" t="s">
        <v>46</v>
      </c>
    </row>
    <row r="15" spans="1:12" ht="13.5" customHeight="1">
      <c r="A15" s="342" t="s">
        <v>47</v>
      </c>
      <c r="B15" s="340">
        <v>1794522.17</v>
      </c>
      <c r="C15" s="340">
        <v>1704362.53</v>
      </c>
      <c r="D15" s="340">
        <v>-80555.16</v>
      </c>
      <c r="E15" s="185">
        <v>1573418.45</v>
      </c>
      <c r="F15" s="185">
        <v>1797665.36</v>
      </c>
      <c r="G15" s="185">
        <v>-224246.91</v>
      </c>
      <c r="H15" s="185">
        <v>1837835.12</v>
      </c>
      <c r="I15" s="185">
        <v>1803535.79</v>
      </c>
      <c r="J15" s="185">
        <v>34299.339999999997</v>
      </c>
    </row>
    <row r="16" spans="1:12" ht="13.5" customHeight="1">
      <c r="A16" s="342" t="s">
        <v>487</v>
      </c>
      <c r="B16" s="185">
        <v>1947932.11</v>
      </c>
      <c r="C16" s="185">
        <v>2375052.84</v>
      </c>
      <c r="D16" s="185">
        <v>427120.74</v>
      </c>
      <c r="E16" s="185">
        <v>2291413.2400000002</v>
      </c>
      <c r="F16" s="185">
        <v>1987486.27</v>
      </c>
      <c r="G16" s="185">
        <v>303926.96999999997</v>
      </c>
      <c r="H16" s="185">
        <v>1783746.54</v>
      </c>
      <c r="I16" s="185">
        <v>2155176.91</v>
      </c>
      <c r="J16" s="185">
        <v>-371430.37</v>
      </c>
    </row>
    <row r="17" spans="1:23" ht="13.5" customHeight="1">
      <c r="A17" s="342" t="s">
        <v>48</v>
      </c>
      <c r="B17" s="185">
        <v>-153409.94</v>
      </c>
      <c r="C17" s="185">
        <v>-670690.31999999995</v>
      </c>
      <c r="D17" s="185">
        <v>-522825.61</v>
      </c>
      <c r="E17" s="185">
        <v>-717994.79</v>
      </c>
      <c r="F17" s="185">
        <v>-189820.91</v>
      </c>
      <c r="G17" s="185">
        <v>-528173.89</v>
      </c>
      <c r="H17" s="185">
        <v>54088.58</v>
      </c>
      <c r="I17" s="185">
        <v>-351641.12</v>
      </c>
      <c r="J17" s="185">
        <v>405729.7</v>
      </c>
    </row>
    <row r="18" spans="1:23" ht="13.5" customHeight="1">
      <c r="A18" s="342" t="s">
        <v>49</v>
      </c>
      <c r="B18" s="185">
        <v>607199.4</v>
      </c>
      <c r="C18" s="185">
        <v>569745.18999999994</v>
      </c>
      <c r="D18" s="185">
        <v>-37454.21</v>
      </c>
      <c r="E18" s="185">
        <v>594943.67000000004</v>
      </c>
      <c r="F18" s="185">
        <v>608269.54</v>
      </c>
      <c r="G18" s="185">
        <v>-13325.87</v>
      </c>
      <c r="H18" s="185">
        <v>10893</v>
      </c>
      <c r="I18" s="185">
        <v>576486.84</v>
      </c>
      <c r="J18" s="185">
        <v>-565593.84</v>
      </c>
    </row>
    <row r="19" spans="1:23" ht="13.5" customHeight="1">
      <c r="A19" s="342" t="s">
        <v>488</v>
      </c>
      <c r="B19" s="185">
        <v>479840.96</v>
      </c>
      <c r="C19" s="185">
        <v>368947</v>
      </c>
      <c r="D19" s="185">
        <v>-110893.96</v>
      </c>
      <c r="E19" s="185">
        <v>340431.33</v>
      </c>
      <c r="F19" s="185">
        <v>360251.07</v>
      </c>
      <c r="G19" s="185">
        <v>-19819.740000000002</v>
      </c>
      <c r="H19" s="189">
        <v>417552.85</v>
      </c>
      <c r="I19" s="189">
        <v>354630.01</v>
      </c>
      <c r="J19" s="189">
        <v>62922.84</v>
      </c>
    </row>
    <row r="20" spans="1:23" ht="13.5" customHeight="1">
      <c r="A20" s="339" t="s">
        <v>50</v>
      </c>
      <c r="B20" s="189">
        <v>-280768.38</v>
      </c>
      <c r="C20" s="189">
        <v>-871488.51</v>
      </c>
      <c r="D20" s="189">
        <v>-596265.36</v>
      </c>
      <c r="E20" s="189">
        <v>-972507.12</v>
      </c>
      <c r="F20" s="189">
        <v>-437839.37</v>
      </c>
      <c r="G20" s="189">
        <v>-534667.75</v>
      </c>
      <c r="H20" s="189">
        <v>460748.44</v>
      </c>
      <c r="I20" s="189">
        <v>-573497.94999999995</v>
      </c>
      <c r="J20" s="347">
        <v>1034246.38</v>
      </c>
    </row>
    <row r="21" spans="1:23" ht="13.5" customHeight="1">
      <c r="A21" s="185"/>
      <c r="B21" s="333" t="s">
        <v>8</v>
      </c>
      <c r="C21" s="117"/>
      <c r="D21" s="117"/>
      <c r="E21" s="333" t="s">
        <v>9</v>
      </c>
      <c r="F21" s="117"/>
      <c r="G21" s="117"/>
      <c r="H21" s="348" t="s">
        <v>10</v>
      </c>
      <c r="I21" s="117"/>
      <c r="J21" s="120"/>
    </row>
    <row r="22" spans="1:23" ht="13.5" customHeight="1">
      <c r="A22" s="185"/>
      <c r="B22" s="313" t="s">
        <v>53</v>
      </c>
      <c r="C22" s="313" t="s">
        <v>52</v>
      </c>
      <c r="D22" s="313" t="s">
        <v>46</v>
      </c>
      <c r="E22" s="335" t="s">
        <v>44</v>
      </c>
      <c r="F22" s="313" t="s">
        <v>52</v>
      </c>
      <c r="G22" s="336" t="s">
        <v>46</v>
      </c>
      <c r="H22" s="313" t="s">
        <v>53</v>
      </c>
      <c r="I22" s="313" t="s">
        <v>52</v>
      </c>
      <c r="J22" s="313" t="s">
        <v>46</v>
      </c>
    </row>
    <row r="23" spans="1:23" ht="13.5" customHeight="1">
      <c r="A23" s="185" t="s">
        <v>54</v>
      </c>
      <c r="B23" s="340">
        <v>1851509.75</v>
      </c>
      <c r="C23" s="340">
        <v>2199807.75</v>
      </c>
      <c r="D23" s="340">
        <v>-348298.02</v>
      </c>
      <c r="E23" s="339">
        <v>2141584.41</v>
      </c>
      <c r="F23" s="340">
        <v>2300148.12</v>
      </c>
      <c r="G23" s="339">
        <v>-158563.70000000001</v>
      </c>
      <c r="H23" s="340">
        <v>2571159.06</v>
      </c>
      <c r="I23" s="346">
        <v>2702661.67</v>
      </c>
      <c r="J23" s="346">
        <v>-131502.6</v>
      </c>
    </row>
    <row r="24" spans="1:23" ht="13.5" customHeight="1">
      <c r="A24" s="342" t="s">
        <v>487</v>
      </c>
      <c r="B24" s="185">
        <v>2227325.0699999998</v>
      </c>
      <c r="C24" s="185">
        <v>2542766.21</v>
      </c>
      <c r="D24" s="185">
        <v>-315441.14</v>
      </c>
      <c r="E24" s="185">
        <v>2270982.14</v>
      </c>
      <c r="F24" s="185">
        <v>2786192.64</v>
      </c>
      <c r="G24" s="184">
        <v>-515210.5</v>
      </c>
      <c r="H24" s="185">
        <v>2760000</v>
      </c>
      <c r="I24" s="185">
        <v>3104513.83</v>
      </c>
      <c r="J24" s="185">
        <v>-344513.83</v>
      </c>
    </row>
    <row r="25" spans="1:23" ht="13.5" customHeight="1">
      <c r="A25" s="342" t="s">
        <v>48</v>
      </c>
      <c r="B25" s="185">
        <v>-375815.32</v>
      </c>
      <c r="C25" s="185">
        <v>-342958.44</v>
      </c>
      <c r="D25" s="185">
        <v>-32856.879999999997</v>
      </c>
      <c r="E25" s="185">
        <v>-129397.73</v>
      </c>
      <c r="F25" s="185">
        <v>-486044.53</v>
      </c>
      <c r="G25" s="184">
        <v>356646.8</v>
      </c>
      <c r="H25" s="185">
        <v>-188840.94</v>
      </c>
      <c r="I25" s="185">
        <v>-401852.15999999997</v>
      </c>
      <c r="J25" s="185">
        <v>213011.23</v>
      </c>
    </row>
    <row r="26" spans="1:23" ht="13.5" customHeight="1">
      <c r="A26" s="342" t="s">
        <v>49</v>
      </c>
      <c r="B26" s="185">
        <v>657515.27</v>
      </c>
      <c r="C26" s="185">
        <v>484751.78</v>
      </c>
      <c r="D26" s="185">
        <v>172763.49</v>
      </c>
      <c r="E26" s="185">
        <v>676583.33</v>
      </c>
      <c r="F26" s="185">
        <v>431994.3</v>
      </c>
      <c r="G26" s="184">
        <v>244589.03</v>
      </c>
      <c r="H26" s="185">
        <v>718000</v>
      </c>
      <c r="I26" s="185">
        <v>500695.26</v>
      </c>
      <c r="J26" s="185">
        <v>217304.74</v>
      </c>
    </row>
    <row r="27" spans="1:23" ht="13.5" customHeight="1">
      <c r="A27" s="342" t="s">
        <v>488</v>
      </c>
      <c r="B27" s="185">
        <v>354630.01</v>
      </c>
      <c r="C27" s="185">
        <v>173555.02</v>
      </c>
      <c r="D27" s="185">
        <v>181074.99</v>
      </c>
      <c r="E27" s="185">
        <v>314046.32</v>
      </c>
      <c r="F27" s="185">
        <v>303813.09000000003</v>
      </c>
      <c r="G27" s="184">
        <v>10233.23</v>
      </c>
      <c r="H27" s="185">
        <v>173638.96</v>
      </c>
      <c r="I27" s="185">
        <v>244785.9</v>
      </c>
      <c r="J27" s="185">
        <v>-71146.929999999993</v>
      </c>
    </row>
    <row r="28" spans="1:23" ht="13.5" customHeight="1">
      <c r="A28" s="343" t="s">
        <v>55</v>
      </c>
      <c r="B28" s="189">
        <v>-302885.26</v>
      </c>
      <c r="C28" s="189">
        <v>-311196.76</v>
      </c>
      <c r="D28" s="189">
        <v>8311.5</v>
      </c>
      <c r="E28" s="189">
        <v>-362537.01</v>
      </c>
      <c r="F28" s="189">
        <v>-128181.21</v>
      </c>
      <c r="G28" s="347">
        <v>-234355.8</v>
      </c>
      <c r="H28" s="189">
        <v>544361.04</v>
      </c>
      <c r="I28" s="189">
        <v>255909.37</v>
      </c>
      <c r="J28" s="189">
        <v>288451.67</v>
      </c>
    </row>
    <row r="29" spans="1:23" ht="13.5" customHeight="1">
      <c r="A29" s="332"/>
      <c r="B29" s="333" t="s">
        <v>56</v>
      </c>
      <c r="C29" s="117"/>
      <c r="D29" s="117"/>
      <c r="E29" s="344" t="s">
        <v>57</v>
      </c>
      <c r="F29" s="117"/>
      <c r="G29" s="117"/>
      <c r="K29" s="136"/>
      <c r="L29" s="136"/>
      <c r="M29" s="136"/>
      <c r="P29" s="136"/>
      <c r="Q29" s="136"/>
      <c r="R29" s="136"/>
      <c r="U29" s="136"/>
      <c r="V29" s="136"/>
      <c r="W29" s="136"/>
    </row>
    <row r="30" spans="1:23" ht="13.5" customHeight="1">
      <c r="A30" s="334"/>
      <c r="B30" s="349" t="s">
        <v>58</v>
      </c>
      <c r="C30" s="349" t="s">
        <v>59</v>
      </c>
      <c r="D30" s="350" t="s">
        <v>46</v>
      </c>
      <c r="E30" s="349" t="s">
        <v>60</v>
      </c>
      <c r="F30" s="349" t="s">
        <v>61</v>
      </c>
      <c r="G30" s="313" t="s">
        <v>46</v>
      </c>
      <c r="K30" s="351"/>
      <c r="L30" s="351"/>
      <c r="M30" s="351"/>
      <c r="P30" s="351"/>
      <c r="Q30" s="351"/>
      <c r="R30" s="351"/>
      <c r="U30" s="351"/>
      <c r="V30" s="351"/>
      <c r="W30" s="351"/>
    </row>
    <row r="31" spans="1:23" ht="13.5" customHeight="1">
      <c r="A31" s="338" t="s">
        <v>62</v>
      </c>
      <c r="B31" s="346">
        <v>2917197.75</v>
      </c>
      <c r="C31" s="346">
        <v>3065208.16</v>
      </c>
      <c r="D31" s="183">
        <v>-148010.41</v>
      </c>
      <c r="E31" s="346">
        <v>2754708.55</v>
      </c>
      <c r="F31" s="346">
        <v>2754708.55</v>
      </c>
      <c r="G31" s="346">
        <v>0</v>
      </c>
      <c r="K31" s="352"/>
      <c r="L31" s="352"/>
      <c r="M31" s="352"/>
      <c r="P31" s="352"/>
      <c r="Q31" s="352"/>
      <c r="R31" s="352"/>
      <c r="U31" s="352"/>
      <c r="V31" s="352"/>
      <c r="W31" s="352"/>
    </row>
    <row r="32" spans="1:23" ht="13.5" customHeight="1">
      <c r="A32" s="342" t="s">
        <v>63</v>
      </c>
      <c r="B32" s="185">
        <v>2946000</v>
      </c>
      <c r="C32" s="185">
        <v>3392762.27</v>
      </c>
      <c r="D32" s="184">
        <v>-446762.27</v>
      </c>
      <c r="E32" s="185">
        <v>3134090.12</v>
      </c>
      <c r="F32" s="185">
        <v>3134090.12</v>
      </c>
      <c r="G32" s="185">
        <v>0</v>
      </c>
      <c r="K32" s="352"/>
      <c r="L32" s="352"/>
      <c r="M32" s="352"/>
      <c r="P32" s="352"/>
      <c r="Q32" s="352"/>
      <c r="R32" s="352"/>
      <c r="U32" s="352"/>
      <c r="V32" s="352"/>
      <c r="W32" s="352"/>
    </row>
    <row r="33" spans="1:10" ht="13.5" customHeight="1">
      <c r="A33" s="342" t="s">
        <v>64</v>
      </c>
      <c r="B33" s="185">
        <v>-28802.25</v>
      </c>
      <c r="C33" s="185">
        <v>-327554.11</v>
      </c>
      <c r="D33" s="184">
        <v>298751.86</v>
      </c>
      <c r="E33" s="185">
        <v>-379381.58</v>
      </c>
      <c r="F33" s="185">
        <v>-379381.58</v>
      </c>
      <c r="G33" s="185">
        <v>0</v>
      </c>
    </row>
    <row r="34" spans="1:10" ht="13.5" customHeight="1">
      <c r="A34" s="342" t="s">
        <v>49</v>
      </c>
      <c r="B34" s="185">
        <v>586000</v>
      </c>
      <c r="C34" s="185">
        <v>585512.89</v>
      </c>
      <c r="D34" s="184">
        <v>487.11</v>
      </c>
      <c r="E34" s="185">
        <v>232686.06</v>
      </c>
      <c r="F34" s="185">
        <v>232686.06</v>
      </c>
      <c r="G34" s="185">
        <v>0</v>
      </c>
    </row>
    <row r="35" spans="1:10" ht="13.5" customHeight="1">
      <c r="A35" s="342" t="s">
        <v>488</v>
      </c>
      <c r="B35" s="185">
        <v>385650.5</v>
      </c>
      <c r="C35" s="185">
        <v>330387.24</v>
      </c>
      <c r="D35" s="184">
        <v>55263.26</v>
      </c>
      <c r="E35" s="185">
        <v>287440.28000000003</v>
      </c>
      <c r="F35" s="185">
        <v>287440.28000000003</v>
      </c>
      <c r="G35" s="185">
        <v>0</v>
      </c>
    </row>
    <row r="36" spans="1:10" ht="13.5" customHeight="1">
      <c r="A36" s="343" t="s">
        <v>55</v>
      </c>
      <c r="B36" s="189">
        <v>200349.5</v>
      </c>
      <c r="C36" s="189">
        <v>255125.65</v>
      </c>
      <c r="D36" s="347">
        <v>-54776.15</v>
      </c>
      <c r="E36" s="189">
        <v>-54754.22</v>
      </c>
      <c r="F36" s="189">
        <v>-54754.22</v>
      </c>
      <c r="G36" s="189">
        <v>0</v>
      </c>
    </row>
    <row r="37" spans="1:10" ht="13.5" customHeight="1"/>
    <row r="38" spans="1:10" s="389" customFormat="1" ht="13.5" customHeight="1">
      <c r="A38" s="389" t="s">
        <v>65</v>
      </c>
    </row>
    <row r="39" spans="1:10" s="390" customFormat="1" ht="13.5" customHeight="1">
      <c r="A39" s="387" t="s">
        <v>66</v>
      </c>
    </row>
    <row r="40" spans="1:10" s="390" customFormat="1" ht="13.5" customHeight="1">
      <c r="A40" s="376" t="s">
        <v>493</v>
      </c>
    </row>
    <row r="41" spans="1:10" s="390" customFormat="1" ht="13.5" customHeight="1">
      <c r="A41" s="387" t="s">
        <v>67</v>
      </c>
    </row>
    <row r="42" spans="1:10" ht="13.5" customHeight="1"/>
    <row r="43" spans="1:10" ht="13.5" customHeight="1"/>
    <row r="44" spans="1:10" ht="13.5" customHeight="1"/>
    <row r="45" spans="1:10" ht="13.5" customHeight="1">
      <c r="G45" s="28"/>
      <c r="H45" s="136"/>
      <c r="I45" s="136"/>
      <c r="J45" s="136"/>
    </row>
    <row r="46" spans="1:10" ht="13.5" customHeight="1">
      <c r="G46" s="351"/>
      <c r="H46" s="351"/>
      <c r="I46" s="351"/>
      <c r="J46" s="351"/>
    </row>
    <row r="47" spans="1:10" ht="13.5" customHeight="1">
      <c r="G47" s="353"/>
      <c r="H47" s="352"/>
      <c r="I47" s="352"/>
      <c r="J47" s="352"/>
    </row>
    <row r="48" spans="1:10" ht="13.5" customHeight="1">
      <c r="G48" s="136"/>
      <c r="H48" s="352"/>
      <c r="I48" s="352"/>
      <c r="J48" s="352"/>
    </row>
    <row r="49" s="7" customFormat="1" ht="13.5" customHeight="1"/>
    <row r="50" s="7" customFormat="1" ht="13.5" customHeight="1"/>
    <row r="51" s="7" customFormat="1" ht="13.5" customHeight="1"/>
    <row r="52" s="7" customFormat="1" ht="13.5" customHeight="1"/>
    <row r="53" s="7" customFormat="1" ht="13.5" customHeight="1"/>
    <row r="54" s="7" customFormat="1" ht="13.5" customHeight="1"/>
    <row r="55" s="7" customFormat="1" ht="13.5" customHeight="1"/>
    <row r="56" s="7" customFormat="1" ht="13.5" customHeight="1"/>
    <row r="57" s="7" customFormat="1" ht="13.5" customHeight="1"/>
    <row r="58" s="7" customFormat="1" ht="13.5" customHeight="1"/>
    <row r="59" s="7" customFormat="1" ht="13.5" customHeight="1"/>
    <row r="60" s="7" customFormat="1" ht="13.5" customHeight="1"/>
    <row r="61" s="7" customFormat="1" ht="13.5" customHeight="1"/>
    <row r="62" s="7" customFormat="1" ht="13.5" customHeight="1"/>
    <row r="63" s="7" customFormat="1" ht="13.5" customHeight="1"/>
    <row r="64" s="7" customFormat="1" ht="13.5" customHeight="1"/>
    <row r="65" s="7" customFormat="1" ht="13.5" customHeight="1"/>
    <row r="66" s="7" customFormat="1" ht="13.5" customHeight="1"/>
    <row r="67" s="7" customFormat="1" ht="13.5" customHeight="1"/>
    <row r="68" s="7" customFormat="1" ht="13.5" customHeight="1"/>
    <row r="69" s="7" customFormat="1" ht="13.5" customHeight="1"/>
    <row r="70" s="7" customFormat="1" ht="13.5" customHeight="1"/>
    <row r="71" s="7" customFormat="1" ht="13.5" customHeight="1"/>
    <row r="72" s="7" customFormat="1" ht="13.5" customHeight="1"/>
    <row r="73" s="7" customFormat="1" ht="13.5" customHeight="1"/>
    <row r="74" s="7" customFormat="1" ht="13.5" customHeight="1"/>
    <row r="75" s="7" customFormat="1" ht="13.5" customHeight="1"/>
    <row r="76" s="7" customFormat="1" ht="13.5" customHeight="1"/>
    <row r="77" s="7" customFormat="1" ht="13.5" customHeight="1"/>
    <row r="78" s="7" customFormat="1" ht="13.5" customHeight="1"/>
    <row r="79" s="7" customFormat="1" ht="13.5" customHeight="1"/>
    <row r="80" s="7" customFormat="1" ht="13.5" customHeight="1"/>
    <row r="81" s="7" customFormat="1" ht="13.5" customHeight="1"/>
    <row r="82" s="7" customFormat="1" ht="13.5" customHeight="1"/>
    <row r="83" s="7" customFormat="1" ht="13.5" customHeight="1"/>
    <row r="84" s="7" customFormat="1" ht="13.5" customHeight="1"/>
    <row r="85" s="7" customFormat="1" ht="13.5" customHeight="1"/>
    <row r="86" s="7" customFormat="1" ht="13.5" customHeight="1"/>
    <row r="87" s="7" customFormat="1" ht="13.5" customHeight="1"/>
    <row r="88" s="7" customFormat="1" ht="13.5" customHeight="1"/>
    <row r="89" s="7" customFormat="1" ht="13.5" customHeight="1"/>
    <row r="90" s="7" customFormat="1" ht="13.5" customHeight="1"/>
    <row r="91" s="7" customFormat="1" ht="13.5" customHeight="1"/>
    <row r="92" s="7" customFormat="1" ht="13.5" customHeight="1"/>
    <row r="93" s="7" customFormat="1" ht="13.5" customHeight="1"/>
    <row r="94" s="7" customFormat="1" ht="13.5" customHeight="1"/>
    <row r="95" s="7" customFormat="1" ht="13.5" customHeight="1"/>
    <row r="96" s="7" customFormat="1" ht="13.5" customHeight="1"/>
    <row r="97" s="7" customFormat="1" ht="13.5" customHeight="1"/>
    <row r="98" s="7" customFormat="1" ht="13.5" customHeight="1"/>
    <row r="99" s="7" customFormat="1" ht="13.5" customHeight="1"/>
    <row r="100" s="7" customFormat="1" ht="13.5" customHeight="1"/>
    <row r="101" s="7" customFormat="1" ht="13.5" customHeight="1"/>
    <row r="102" s="7" customFormat="1" ht="13.5" customHeight="1"/>
    <row r="103" s="7" customFormat="1" ht="13.5" customHeight="1"/>
    <row r="104" s="7" customFormat="1" ht="13.5" customHeight="1"/>
    <row r="105" s="7" customFormat="1" ht="13.5" customHeight="1"/>
    <row r="106" s="7" customFormat="1" ht="13.5" customHeight="1"/>
    <row r="107" s="7" customFormat="1" ht="13.5" customHeight="1"/>
    <row r="108" s="7" customFormat="1" ht="13.5" customHeight="1"/>
    <row r="109" s="7" customFormat="1" ht="13.5" customHeight="1"/>
    <row r="110" s="7" customFormat="1" ht="13.5" customHeight="1"/>
    <row r="111" s="7" customFormat="1" ht="13.5" customHeight="1"/>
    <row r="112" s="7" customFormat="1" ht="13.5" customHeight="1"/>
    <row r="113" s="7" customFormat="1" ht="13.5" customHeight="1"/>
    <row r="114" s="7" customFormat="1" ht="13.5" customHeight="1"/>
    <row r="115" s="7" customFormat="1" ht="13.5" customHeight="1"/>
    <row r="116" s="7" customFormat="1" ht="13.5" customHeight="1"/>
    <row r="117" s="7" customFormat="1" ht="13.5" customHeight="1"/>
    <row r="118" s="7" customFormat="1" ht="13.5" customHeight="1"/>
    <row r="119" s="7" customFormat="1" ht="13.5" customHeight="1"/>
    <row r="120" s="7" customFormat="1" ht="13.5" customHeight="1"/>
    <row r="121" s="7" customFormat="1" ht="13.5" customHeight="1"/>
    <row r="122" s="7" customFormat="1" ht="13.5" customHeight="1"/>
    <row r="123" s="7" customFormat="1" ht="13.5" customHeight="1"/>
    <row r="124" s="7" customFormat="1" ht="13.5" customHeight="1"/>
    <row r="125" s="7" customFormat="1" ht="13.5" customHeight="1"/>
    <row r="126" s="7" customFormat="1" ht="13.5" customHeight="1"/>
    <row r="127" s="7" customFormat="1" ht="13.5" customHeight="1"/>
    <row r="128" s="7" customFormat="1" ht="13.5" customHeight="1"/>
    <row r="129" s="7" customFormat="1" ht="13.5" customHeight="1"/>
    <row r="130" s="7" customFormat="1" ht="13.5" customHeight="1"/>
    <row r="131" s="7" customFormat="1" ht="13.5" customHeight="1"/>
    <row r="132" s="7" customFormat="1" ht="13.5" customHeight="1"/>
    <row r="133" s="7" customFormat="1" ht="13.5" customHeight="1"/>
    <row r="134" s="7" customFormat="1" ht="13.5" customHeight="1"/>
    <row r="135" s="7" customFormat="1" ht="13.5" customHeight="1"/>
    <row r="136" s="7" customFormat="1" ht="13.5" customHeight="1"/>
    <row r="137" s="7" customFormat="1" ht="13.5" customHeight="1"/>
    <row r="138" s="7" customFormat="1" ht="13.5" customHeight="1"/>
    <row r="139" s="7" customFormat="1" ht="13.5" customHeight="1"/>
    <row r="140" s="7" customFormat="1" ht="13.5" customHeight="1"/>
    <row r="141" s="7" customFormat="1" ht="13.5" customHeight="1"/>
    <row r="142" s="7" customFormat="1" ht="13.5" customHeight="1"/>
    <row r="143" s="7" customFormat="1" ht="13.5" customHeight="1"/>
    <row r="144" s="7" customFormat="1" ht="13.5" customHeight="1"/>
    <row r="145" s="7" customFormat="1" ht="13.5" customHeight="1"/>
    <row r="146" s="7" customFormat="1" ht="13.5" customHeight="1"/>
    <row r="147" s="7" customFormat="1" ht="13.5" customHeight="1"/>
    <row r="148" s="7" customFormat="1" ht="13.5" customHeight="1"/>
    <row r="149" s="7" customFormat="1" ht="13.5" customHeight="1"/>
    <row r="150" s="7" customFormat="1" ht="13.5" customHeight="1"/>
    <row r="151" s="7" customFormat="1" ht="13.5" customHeight="1"/>
    <row r="152" s="7" customFormat="1" ht="13.5" customHeight="1"/>
    <row r="153" s="7" customFormat="1" ht="13.5" customHeight="1"/>
    <row r="154" s="7" customFormat="1" ht="13.5" customHeight="1"/>
    <row r="155" s="7" customFormat="1" ht="13.5" customHeight="1"/>
    <row r="156" s="7" customFormat="1" ht="13.5" customHeight="1"/>
    <row r="157" s="7" customFormat="1" ht="13.5" customHeight="1"/>
    <row r="158" s="7" customFormat="1" ht="13.5" customHeight="1"/>
    <row r="159" s="7" customFormat="1" ht="13.5" customHeight="1"/>
    <row r="160" s="7" customFormat="1" ht="13.5" customHeight="1"/>
    <row r="161" s="7" customFormat="1" ht="13.5" customHeight="1"/>
    <row r="162" s="7" customFormat="1" ht="13.5" customHeight="1"/>
    <row r="163" s="7" customFormat="1" ht="13.5" customHeight="1"/>
    <row r="164" s="7" customFormat="1" ht="13.5" customHeight="1"/>
    <row r="165" s="7" customFormat="1" ht="13.5" customHeight="1"/>
    <row r="166" s="7" customFormat="1" ht="13.5" customHeight="1"/>
    <row r="167" s="7" customFormat="1" ht="13.5" customHeight="1"/>
    <row r="168" s="7" customFormat="1" ht="13.5" customHeight="1"/>
    <row r="169" s="7" customFormat="1" ht="13.5" customHeight="1"/>
    <row r="170" s="7" customFormat="1" ht="13.5" customHeight="1"/>
    <row r="171" s="7" customFormat="1" ht="13.5" customHeight="1"/>
    <row r="172" s="7" customFormat="1" ht="13.5" customHeight="1"/>
    <row r="173" s="7" customFormat="1" ht="13.5" customHeight="1"/>
    <row r="174" s="7" customFormat="1" ht="13.5" customHeight="1"/>
    <row r="175" s="7" customFormat="1" ht="13.5" customHeight="1"/>
    <row r="176" s="7" customFormat="1" ht="13.5" customHeight="1"/>
    <row r="177" s="7" customFormat="1" ht="13.5" customHeight="1"/>
    <row r="178" s="7" customFormat="1" ht="13.5" customHeight="1"/>
    <row r="179" s="7" customFormat="1" ht="13.5" customHeight="1"/>
    <row r="180" s="7" customFormat="1" ht="13.5" customHeight="1"/>
    <row r="181" s="7" customFormat="1" ht="13.5" customHeight="1"/>
    <row r="182" s="7" customFormat="1" ht="13.5" customHeight="1"/>
    <row r="183" s="7" customFormat="1" ht="13.5" customHeight="1"/>
    <row r="184" s="7" customFormat="1" ht="13.5" customHeight="1"/>
    <row r="185" s="7" customFormat="1" ht="13.5" customHeight="1"/>
    <row r="186" s="7" customFormat="1" ht="13.5" customHeight="1"/>
    <row r="187" s="7" customFormat="1" ht="13.5" customHeight="1"/>
    <row r="188" s="7" customFormat="1" ht="13.5" customHeight="1"/>
    <row r="189" s="7" customFormat="1" ht="13.5" customHeight="1"/>
    <row r="190" s="7" customFormat="1" ht="13.5" customHeight="1"/>
    <row r="191" s="7" customFormat="1" ht="13.5" customHeight="1"/>
    <row r="192" s="7" customFormat="1" ht="13.5" customHeight="1"/>
    <row r="193" s="7" customFormat="1" ht="13.5" customHeight="1"/>
    <row r="194" s="7" customFormat="1" ht="13.5" customHeight="1"/>
    <row r="195" s="7" customFormat="1" ht="13.5" customHeight="1"/>
    <row r="196" s="7" customFormat="1" ht="13.5" customHeight="1"/>
    <row r="197" s="7" customFormat="1" ht="13.5" customHeight="1"/>
    <row r="198" s="7" customFormat="1" ht="13.5" customHeight="1"/>
    <row r="199" s="7" customFormat="1" ht="13.5" customHeight="1"/>
    <row r="200" s="7" customFormat="1" ht="13.5" customHeight="1"/>
    <row r="201" s="7" customFormat="1" ht="13.5" customHeight="1"/>
    <row r="202" s="7" customFormat="1" ht="13.5" customHeight="1"/>
    <row r="203" s="7" customFormat="1" ht="13.5" customHeight="1"/>
    <row r="204" s="7" customFormat="1" ht="13.5" customHeight="1"/>
    <row r="205" s="7" customFormat="1" ht="13.5" customHeight="1"/>
    <row r="206" s="7" customFormat="1" ht="13.5" customHeight="1"/>
    <row r="207" s="7" customFormat="1" ht="13.5" customHeight="1"/>
    <row r="208" s="7" customFormat="1" ht="13.5" customHeight="1"/>
    <row r="209" s="7" customFormat="1" ht="13.5" customHeight="1"/>
    <row r="210" s="7" customFormat="1" ht="13.5" customHeight="1"/>
    <row r="211" s="7" customFormat="1" ht="13.5" customHeight="1"/>
    <row r="212" s="7" customFormat="1" ht="13.5" customHeight="1"/>
    <row r="213" s="7" customFormat="1" ht="13.5" customHeight="1"/>
    <row r="214" s="7" customFormat="1" ht="13.5" customHeight="1"/>
    <row r="215" s="7" customFormat="1" ht="13.5" customHeight="1"/>
    <row r="216" s="7" customFormat="1" ht="13.5" customHeight="1"/>
    <row r="217" s="7" customFormat="1" ht="13.5" customHeight="1"/>
    <row r="218" s="7" customFormat="1" ht="13.5" customHeight="1"/>
    <row r="219" s="7" customFormat="1" ht="13.5" customHeight="1"/>
    <row r="220" s="7" customFormat="1" ht="13.5" customHeight="1"/>
    <row r="221" s="7" customFormat="1" ht="13.5" customHeight="1"/>
    <row r="222" s="7" customFormat="1" ht="13.5" customHeight="1"/>
    <row r="223" s="7" customFormat="1" ht="13.5" customHeight="1"/>
    <row r="224" s="7" customFormat="1" ht="13.5" customHeight="1"/>
    <row r="225" s="7" customFormat="1" ht="13.5" customHeight="1"/>
    <row r="226" s="7" customFormat="1" ht="13.5" customHeight="1"/>
    <row r="227" s="7" customFormat="1" ht="13.5" customHeight="1"/>
    <row r="228" s="7" customFormat="1" ht="13.5" customHeight="1"/>
    <row r="229" s="7" customFormat="1" ht="13.5" customHeight="1"/>
    <row r="230" s="7" customFormat="1" ht="13.5" customHeight="1"/>
    <row r="231" s="7" customFormat="1" ht="13.5" customHeight="1"/>
    <row r="232" s="7" customFormat="1" ht="13.5" customHeight="1"/>
    <row r="233" s="7" customFormat="1" ht="13.5" customHeight="1"/>
    <row r="234" s="7" customFormat="1" ht="13.5" customHeight="1"/>
    <row r="235" s="7" customFormat="1" ht="13.5" customHeight="1"/>
    <row r="236" s="7" customFormat="1" ht="13.5" customHeight="1"/>
    <row r="237" s="7" customFormat="1" ht="13.5" customHeight="1"/>
    <row r="238" s="7" customFormat="1" ht="13.5" customHeight="1"/>
    <row r="239" s="7" customFormat="1" ht="13.5" customHeight="1"/>
    <row r="240" s="7" customFormat="1" ht="13.5" customHeight="1"/>
    <row r="241" s="7" customFormat="1" ht="13.5" customHeight="1"/>
    <row r="242" s="7" customFormat="1" ht="13.5" customHeight="1"/>
    <row r="243" s="7" customFormat="1" ht="13.5" customHeight="1"/>
    <row r="244" s="7" customFormat="1" ht="13.5" customHeight="1"/>
    <row r="245" s="7" customFormat="1" ht="13.5" customHeight="1"/>
    <row r="246" s="7" customFormat="1" ht="13.5" customHeight="1"/>
    <row r="247" s="7" customFormat="1" ht="13.5" customHeight="1"/>
    <row r="248" s="7" customFormat="1" ht="13.5" customHeight="1"/>
    <row r="249" s="7" customFormat="1" ht="13.5" customHeight="1"/>
    <row r="250" s="7" customFormat="1" ht="13.5" customHeight="1"/>
    <row r="251" s="7" customFormat="1" ht="13.5" customHeight="1"/>
    <row r="252" s="7" customFormat="1" ht="13.5" customHeight="1"/>
    <row r="253" s="7" customFormat="1" ht="13.5" customHeight="1"/>
    <row r="254" s="7" customFormat="1" ht="13.5" customHeight="1"/>
    <row r="255" s="7" customFormat="1" ht="13.5" customHeight="1"/>
    <row r="256" s="7" customFormat="1" ht="13.5" customHeight="1"/>
    <row r="257" s="7" customFormat="1" ht="13.5" customHeight="1"/>
    <row r="258" s="7" customFormat="1" ht="13.5" customHeight="1"/>
    <row r="259" s="7" customFormat="1" ht="13.5" customHeight="1"/>
    <row r="260" s="7" customFormat="1" ht="13.5" customHeight="1"/>
    <row r="261" s="7" customFormat="1" ht="13.5" customHeight="1"/>
    <row r="262" s="7" customFormat="1" ht="13.5" customHeight="1"/>
    <row r="263" s="7" customFormat="1" ht="13.5" customHeight="1"/>
    <row r="264" s="7" customFormat="1" ht="13.5" customHeight="1"/>
    <row r="265" s="7" customFormat="1" ht="13.5" customHeight="1"/>
    <row r="266" s="7" customFormat="1" ht="13.5" customHeight="1"/>
    <row r="267" s="7" customFormat="1" ht="13.5" customHeight="1"/>
    <row r="268" s="7" customFormat="1" ht="13.5" customHeight="1"/>
    <row r="269" s="7" customFormat="1" ht="13.5" customHeight="1"/>
    <row r="270" s="7" customFormat="1" ht="13.5" customHeight="1"/>
    <row r="271" s="7" customFormat="1" ht="13.5" customHeight="1"/>
    <row r="272" s="7" customFormat="1" ht="13.5" customHeight="1"/>
    <row r="273" s="7" customFormat="1" ht="13.5" customHeight="1"/>
    <row r="274" s="7" customFormat="1" ht="13.5" customHeight="1"/>
    <row r="275" s="7" customFormat="1" ht="13.5" customHeight="1"/>
    <row r="276" s="7" customFormat="1" ht="13.5" customHeight="1"/>
    <row r="277" s="7" customFormat="1" ht="13.5" customHeight="1"/>
    <row r="278" s="7" customFormat="1" ht="13.5" customHeight="1"/>
    <row r="279" s="7" customFormat="1" ht="13.5" customHeight="1"/>
    <row r="280" s="7" customFormat="1" ht="13.5" customHeight="1"/>
    <row r="281" s="7" customFormat="1" ht="13.5" customHeight="1"/>
    <row r="282" s="7" customFormat="1" ht="13.5" customHeight="1"/>
    <row r="283" s="7" customFormat="1" ht="13.5" customHeight="1"/>
    <row r="284" s="7" customFormat="1" ht="13.5" customHeight="1"/>
    <row r="285" s="7" customFormat="1" ht="13.5" customHeight="1"/>
    <row r="286" s="7" customFormat="1" ht="13.5" customHeight="1"/>
    <row r="287" s="7" customFormat="1" ht="13.5" customHeight="1"/>
    <row r="288" s="7" customFormat="1" ht="13.5" customHeight="1"/>
    <row r="289" s="7" customFormat="1" ht="13.5" customHeight="1"/>
    <row r="290" s="7" customFormat="1" ht="13.5" customHeight="1"/>
    <row r="291" s="7" customFormat="1" ht="13.5" customHeight="1"/>
    <row r="292" s="7" customFormat="1" ht="13.5" customHeight="1"/>
    <row r="293" s="7" customFormat="1" ht="13.5" customHeight="1"/>
    <row r="294" s="7" customFormat="1" ht="13.5" customHeight="1"/>
    <row r="295" s="7" customFormat="1" ht="13.5" customHeight="1"/>
    <row r="296" s="7" customFormat="1" ht="13.5" customHeight="1"/>
    <row r="297" s="7" customFormat="1" ht="13.5" customHeight="1"/>
    <row r="298" s="7" customFormat="1" ht="13.5" customHeight="1"/>
    <row r="299" s="7" customFormat="1" ht="13.5" customHeight="1"/>
    <row r="300" s="7" customFormat="1" ht="13.5" customHeight="1"/>
    <row r="301" s="7" customFormat="1" ht="13.5" customHeight="1"/>
    <row r="302" s="7" customFormat="1" ht="13.5" customHeight="1"/>
    <row r="303" s="7" customFormat="1" ht="13.5" customHeight="1"/>
    <row r="304" s="7" customFormat="1" ht="13.5" customHeight="1"/>
    <row r="305" s="7" customFormat="1" ht="13.5" customHeight="1"/>
    <row r="306" s="7" customFormat="1" ht="13.5" customHeight="1"/>
    <row r="307" s="7" customFormat="1" ht="13.5" customHeight="1"/>
    <row r="308" s="7" customFormat="1" ht="13.5" customHeight="1"/>
    <row r="309" s="7" customFormat="1" ht="13.5" customHeight="1"/>
    <row r="310" s="7" customFormat="1" ht="13.5" customHeight="1"/>
    <row r="311" s="7" customFormat="1" ht="13.5" customHeight="1"/>
    <row r="312" s="7" customFormat="1" ht="13.5" customHeight="1"/>
    <row r="313" s="7" customFormat="1" ht="13.5" customHeight="1"/>
    <row r="314" s="7" customFormat="1" ht="13.5" customHeight="1"/>
    <row r="315" s="7" customFormat="1" ht="13.5" customHeight="1"/>
    <row r="316" s="7" customFormat="1" ht="13.5" customHeight="1"/>
    <row r="317" s="7" customFormat="1" ht="13.5" customHeight="1"/>
    <row r="318" s="7" customFormat="1" ht="13.5" customHeight="1"/>
    <row r="319" s="7" customFormat="1" ht="13.5" customHeight="1"/>
    <row r="320" s="7" customFormat="1" ht="13.5" customHeight="1"/>
    <row r="321" s="7" customFormat="1" ht="13.5" customHeight="1"/>
    <row r="322" s="7" customFormat="1" ht="13.5" customHeight="1"/>
    <row r="323" s="7" customFormat="1" ht="13.5" customHeight="1"/>
    <row r="324" s="7" customFormat="1" ht="13.5" customHeight="1"/>
    <row r="325" s="7" customFormat="1" ht="13.5" customHeight="1"/>
    <row r="326" s="7" customFormat="1" ht="13.5" customHeight="1"/>
    <row r="327" s="7" customFormat="1" ht="13.5" customHeight="1"/>
    <row r="328" s="7" customFormat="1" ht="13.5" customHeight="1"/>
    <row r="329" s="7" customFormat="1" ht="13.5" customHeight="1"/>
    <row r="330" s="7" customFormat="1" ht="13.5" customHeight="1"/>
    <row r="331" s="7" customFormat="1" ht="13.5" customHeight="1"/>
    <row r="332" s="7" customFormat="1" ht="13.5" customHeight="1"/>
    <row r="333" s="7" customFormat="1" ht="13.5" customHeight="1"/>
    <row r="334" s="7" customFormat="1" ht="13.5" customHeight="1"/>
    <row r="335" s="7" customFormat="1" ht="13.5" customHeight="1"/>
    <row r="336" s="7" customFormat="1" ht="13.5" customHeight="1"/>
    <row r="337" s="7" customFormat="1" ht="13.5" customHeight="1"/>
    <row r="338" s="7" customFormat="1" ht="13.5" customHeight="1"/>
    <row r="339" s="7" customFormat="1" ht="13.5" customHeight="1"/>
    <row r="340" s="7" customFormat="1" ht="13.5" customHeight="1"/>
    <row r="341" s="7" customFormat="1" ht="13.5" customHeight="1"/>
    <row r="342" s="7" customFormat="1" ht="13.5" customHeight="1"/>
    <row r="343" s="7" customFormat="1" ht="13.5" customHeight="1"/>
    <row r="344" s="7" customFormat="1" ht="13.5" customHeight="1"/>
    <row r="345" s="7" customFormat="1" ht="13.5" customHeight="1"/>
    <row r="346" s="7" customFormat="1" ht="13.5" customHeight="1"/>
    <row r="347" s="7" customFormat="1" ht="13.5" customHeight="1"/>
    <row r="348" s="7" customFormat="1" ht="13.5" customHeight="1"/>
    <row r="349" s="7" customFormat="1" ht="13.5" customHeight="1"/>
    <row r="350" s="7" customFormat="1" ht="13.5" customHeight="1"/>
    <row r="351" s="7" customFormat="1" ht="13.5" customHeight="1"/>
    <row r="352" s="7" customFormat="1" ht="13.5" customHeight="1"/>
    <row r="353" s="7" customFormat="1" ht="13.5" customHeight="1"/>
    <row r="354" s="7" customFormat="1" ht="13.5" customHeight="1"/>
    <row r="355" s="7" customFormat="1" ht="13.5" customHeight="1"/>
    <row r="356" s="7" customFormat="1" ht="13.5" customHeight="1"/>
    <row r="357" s="7" customFormat="1" ht="13.5" customHeight="1"/>
    <row r="358" s="7" customFormat="1" ht="13.5" customHeight="1"/>
    <row r="359" s="7" customFormat="1" ht="13.5" customHeight="1"/>
    <row r="360" s="7" customFormat="1" ht="13.5" customHeight="1"/>
    <row r="361" s="7" customFormat="1" ht="13.5" customHeight="1"/>
    <row r="362" s="7" customFormat="1" ht="13.5" customHeight="1"/>
    <row r="363" s="7" customFormat="1" ht="13.5" customHeight="1"/>
    <row r="364" s="7" customFormat="1" ht="13.5" customHeight="1"/>
    <row r="365" s="7" customFormat="1" ht="13.5" customHeight="1"/>
    <row r="366" s="7" customFormat="1" ht="13.5" customHeight="1"/>
    <row r="367" s="7" customFormat="1" ht="13.5" customHeight="1"/>
    <row r="368" s="7" customFormat="1" ht="13.5" customHeight="1"/>
    <row r="369" s="7" customFormat="1" ht="13.5" customHeight="1"/>
    <row r="370" s="7" customFormat="1" ht="13.5" customHeight="1"/>
    <row r="371" s="7" customFormat="1" ht="13.5" customHeight="1"/>
    <row r="372" s="7" customFormat="1" ht="13.5" customHeight="1"/>
    <row r="373" s="7" customFormat="1" ht="13.5" customHeight="1"/>
    <row r="374" s="7" customFormat="1" ht="13.5" customHeight="1"/>
    <row r="375" s="7" customFormat="1" ht="13.5" customHeight="1"/>
    <row r="376" s="7" customFormat="1" ht="13.5" customHeight="1"/>
    <row r="377" s="7" customFormat="1" ht="13.5" customHeight="1"/>
    <row r="378" s="7" customFormat="1" ht="13.5" customHeight="1"/>
    <row r="379" s="7" customFormat="1" ht="13.5" customHeight="1"/>
    <row r="380" s="7" customFormat="1" ht="13.5" customHeight="1"/>
    <row r="381" s="7" customFormat="1" ht="13.5" customHeight="1"/>
    <row r="382" s="7" customFormat="1" ht="13.5" customHeight="1"/>
    <row r="383" s="7" customFormat="1" ht="13.5" customHeight="1"/>
    <row r="384" s="7" customFormat="1" ht="13.5" customHeight="1"/>
    <row r="385" s="7" customFormat="1" ht="13.5" customHeight="1"/>
    <row r="386" s="7" customFormat="1" ht="13.5" customHeight="1"/>
    <row r="387" s="7" customFormat="1" ht="13.5" customHeight="1"/>
    <row r="388" s="7" customFormat="1" ht="13.5" customHeight="1"/>
    <row r="389" s="7" customFormat="1" ht="13.5" customHeight="1"/>
    <row r="390" s="7" customFormat="1" ht="13.5" customHeight="1"/>
    <row r="391" s="7" customFormat="1" ht="13.5" customHeight="1"/>
    <row r="392" s="7" customFormat="1" ht="13.5" customHeight="1"/>
    <row r="393" s="7" customFormat="1" ht="13.5" customHeight="1"/>
    <row r="394" s="7" customFormat="1" ht="13.5" customHeight="1"/>
    <row r="395" s="7" customFormat="1" ht="13.5" customHeight="1"/>
    <row r="396" s="7" customFormat="1" ht="13.5" customHeight="1"/>
    <row r="397" s="7" customFormat="1" ht="13.5" customHeight="1"/>
    <row r="398" s="7" customFormat="1" ht="13.5" customHeight="1"/>
    <row r="399" s="7" customFormat="1" ht="13.5" customHeight="1"/>
    <row r="400" s="7" customFormat="1" ht="13.5" customHeight="1"/>
    <row r="401" s="7" customFormat="1" ht="13.5" customHeight="1"/>
    <row r="402" s="7" customFormat="1" ht="13.5" customHeight="1"/>
    <row r="403" s="7" customFormat="1" ht="13.5" customHeight="1"/>
    <row r="404" s="7" customFormat="1" ht="13.5" customHeight="1"/>
    <row r="405" s="7" customFormat="1" ht="13.5" customHeight="1"/>
    <row r="406" s="7" customFormat="1" ht="13.5" customHeight="1"/>
    <row r="407" s="7" customFormat="1" ht="13.5" customHeight="1"/>
    <row r="408" s="7" customFormat="1" ht="13.5" customHeight="1"/>
    <row r="409" s="7" customFormat="1" ht="13.5" customHeight="1"/>
    <row r="410" s="7" customFormat="1" ht="13.5" customHeight="1"/>
    <row r="411" s="7" customFormat="1" ht="13.5" customHeight="1"/>
    <row r="412" s="7" customFormat="1" ht="13.5" customHeight="1"/>
    <row r="413" s="7" customFormat="1" ht="13.5" customHeight="1"/>
    <row r="414" s="7" customFormat="1" ht="13.5" customHeight="1"/>
    <row r="415" s="7" customFormat="1" ht="13.5" customHeight="1"/>
    <row r="416" s="7" customFormat="1" ht="13.5" customHeight="1"/>
    <row r="417" s="7" customFormat="1" ht="13.5" customHeight="1"/>
    <row r="418" s="7" customFormat="1" ht="13.5" customHeight="1"/>
    <row r="419" s="7" customFormat="1" ht="13.5" customHeight="1"/>
    <row r="420" s="7" customFormat="1" ht="13.5" customHeight="1"/>
    <row r="421" s="7" customFormat="1" ht="13.5" customHeight="1"/>
    <row r="422" s="7" customFormat="1" ht="13.5" customHeight="1"/>
    <row r="423" s="7" customFormat="1" ht="13.5" customHeight="1"/>
    <row r="424" s="7" customFormat="1" ht="13.5" customHeight="1"/>
    <row r="425" s="7" customFormat="1" ht="13.5" customHeight="1"/>
    <row r="426" s="7" customFormat="1" ht="13.5" customHeight="1"/>
    <row r="427" s="7" customFormat="1" ht="13.5" customHeight="1"/>
    <row r="428" s="7" customFormat="1" ht="13.5" customHeight="1"/>
    <row r="429" s="7" customFormat="1" ht="13.5" customHeight="1"/>
    <row r="430" s="7" customFormat="1" ht="13.5" customHeight="1"/>
    <row r="431" s="7" customFormat="1" ht="13.5" customHeight="1"/>
    <row r="432" s="7" customFormat="1" ht="13.5" customHeight="1"/>
    <row r="433" s="7" customFormat="1" ht="13.5" customHeight="1"/>
    <row r="434" s="7" customFormat="1" ht="13.5" customHeight="1"/>
    <row r="435" s="7" customFormat="1" ht="13.5" customHeight="1"/>
    <row r="436" s="7" customFormat="1" ht="13.5" customHeight="1"/>
    <row r="437" s="7" customFormat="1" ht="13.5" customHeight="1"/>
    <row r="438" s="7" customFormat="1" ht="13.5" customHeight="1"/>
    <row r="439" s="7" customFormat="1" ht="13.5" customHeight="1"/>
    <row r="440" s="7" customFormat="1" ht="13.5" customHeight="1"/>
    <row r="441" s="7" customFormat="1" ht="13.5" customHeight="1"/>
    <row r="442" s="7" customFormat="1" ht="13.5" customHeight="1"/>
    <row r="443" s="7" customFormat="1" ht="13.5" customHeight="1"/>
    <row r="444" s="7" customFormat="1" ht="13.5" customHeight="1"/>
    <row r="445" s="7" customFormat="1" ht="13.5" customHeight="1"/>
    <row r="446" s="7" customFormat="1" ht="13.5" customHeight="1"/>
    <row r="447" s="7" customFormat="1" ht="13.5" customHeight="1"/>
    <row r="448" s="7" customFormat="1" ht="13.5" customHeight="1"/>
    <row r="449" s="7" customFormat="1" ht="13.5" customHeight="1"/>
    <row r="450" s="7" customFormat="1" ht="13.5" customHeight="1"/>
    <row r="451" s="7" customFormat="1" ht="13.5" customHeight="1"/>
    <row r="452" s="7" customFormat="1" ht="13.5" customHeight="1"/>
    <row r="453" s="7" customFormat="1" ht="13.5" customHeight="1"/>
    <row r="454" s="7" customFormat="1" ht="13.5" customHeight="1"/>
    <row r="455" s="7" customFormat="1" ht="13.5" customHeight="1"/>
    <row r="456" s="7" customFormat="1" ht="13.5" customHeight="1"/>
    <row r="457" s="7" customFormat="1" ht="13.5" customHeight="1"/>
    <row r="458" s="7" customFormat="1" ht="13.5" customHeight="1"/>
    <row r="459" s="7" customFormat="1" ht="13.5" customHeight="1"/>
    <row r="460" s="7" customFormat="1" ht="13.5" customHeight="1"/>
    <row r="461" s="7" customFormat="1" ht="13.5" customHeight="1"/>
    <row r="462" s="7" customFormat="1" ht="13.5" customHeight="1"/>
    <row r="463" s="7" customFormat="1" ht="13.5" customHeight="1"/>
    <row r="464" s="7" customFormat="1" ht="13.5" customHeight="1"/>
    <row r="465" s="7" customFormat="1" ht="13.5" customHeight="1"/>
    <row r="466" s="7" customFormat="1" ht="13.5" customHeight="1"/>
    <row r="467" s="7" customFormat="1" ht="13.5" customHeight="1"/>
    <row r="468" s="7" customFormat="1" ht="13.5" customHeight="1"/>
    <row r="469" s="7" customFormat="1" ht="13.5" customHeight="1"/>
    <row r="470" s="7" customFormat="1" ht="13.5" customHeight="1"/>
    <row r="471" s="7" customFormat="1" ht="13.5" customHeight="1"/>
    <row r="472" s="7" customFormat="1" ht="13.5" customHeight="1"/>
    <row r="473" s="7" customFormat="1" ht="13.5" customHeight="1"/>
    <row r="474" s="7" customFormat="1" ht="13.5" customHeight="1"/>
    <row r="475" s="7" customFormat="1" ht="13.5" customHeight="1"/>
    <row r="476" s="7" customFormat="1" ht="13.5" customHeight="1"/>
    <row r="477" s="7" customFormat="1" ht="13.5" customHeight="1"/>
    <row r="478" s="7" customFormat="1" ht="13.5" customHeight="1"/>
    <row r="479" s="7" customFormat="1" ht="13.5" customHeight="1"/>
    <row r="480" s="7" customFormat="1" ht="13.5" customHeight="1"/>
    <row r="481" s="7" customFormat="1" ht="13.5" customHeight="1"/>
    <row r="482" s="7" customFormat="1" ht="13.5" customHeight="1"/>
    <row r="483" s="7" customFormat="1" ht="13.5" customHeight="1"/>
    <row r="484" s="7" customFormat="1" ht="13.5" customHeight="1"/>
    <row r="485" s="7" customFormat="1" ht="13.5" customHeight="1"/>
    <row r="486" s="7" customFormat="1" ht="13.5" customHeight="1"/>
    <row r="487" s="7" customFormat="1" ht="13.5" customHeight="1"/>
    <row r="488" s="7" customFormat="1" ht="13.5" customHeight="1"/>
    <row r="489" s="7" customFormat="1" ht="13.5" customHeight="1"/>
    <row r="490" s="7" customFormat="1" ht="13.5" customHeight="1"/>
    <row r="491" s="7" customFormat="1" ht="13.5" customHeight="1"/>
    <row r="492" s="7" customFormat="1" ht="13.5" customHeight="1"/>
    <row r="493" s="7" customFormat="1" ht="13.5" customHeight="1"/>
    <row r="494" s="7" customFormat="1" ht="13.5" customHeight="1"/>
    <row r="495" s="7" customFormat="1" ht="13.5" customHeight="1"/>
    <row r="496" s="7" customFormat="1" ht="13.5" customHeight="1"/>
    <row r="497" s="7" customFormat="1" ht="13.5" customHeight="1"/>
    <row r="498" s="7" customFormat="1" ht="13.5" customHeight="1"/>
    <row r="499" s="7" customFormat="1" ht="13.5" customHeight="1"/>
    <row r="500" s="7" customFormat="1" ht="13.5" customHeight="1"/>
    <row r="501" s="7" customFormat="1" ht="13.5" customHeight="1"/>
    <row r="502" s="7" customFormat="1" ht="13.5" customHeight="1"/>
    <row r="503" s="7" customFormat="1" ht="13.5" customHeight="1"/>
    <row r="504" s="7" customFormat="1" ht="13.5" customHeight="1"/>
    <row r="505" s="7" customFormat="1" ht="13.5" customHeight="1"/>
    <row r="506" s="7" customFormat="1" ht="13.5" customHeight="1"/>
    <row r="507" s="7" customFormat="1" ht="13.5" customHeight="1"/>
    <row r="508" s="7" customFormat="1" ht="13.5" customHeight="1"/>
    <row r="509" s="7" customFormat="1" ht="13.5" customHeight="1"/>
    <row r="510" s="7" customFormat="1" ht="13.5" customHeight="1"/>
    <row r="511" s="7" customFormat="1" ht="13.5" customHeight="1"/>
    <row r="512" s="7" customFormat="1" ht="13.5" customHeight="1"/>
    <row r="513" s="7" customFormat="1" ht="13.5" customHeight="1"/>
    <row r="514" s="7" customFormat="1" ht="13.5" customHeight="1"/>
    <row r="515" s="7" customFormat="1" ht="13.5" customHeight="1"/>
    <row r="516" s="7" customFormat="1" ht="13.5" customHeight="1"/>
    <row r="517" s="7" customFormat="1" ht="13.5" customHeight="1"/>
    <row r="518" s="7" customFormat="1" ht="13.5" customHeight="1"/>
    <row r="519" s="7" customFormat="1" ht="13.5" customHeight="1"/>
    <row r="520" s="7" customFormat="1" ht="13.5" customHeight="1"/>
    <row r="521" s="7" customFormat="1" ht="13.5" customHeight="1"/>
    <row r="522" s="7" customFormat="1" ht="13.5" customHeight="1"/>
    <row r="523" s="7" customFormat="1" ht="13.5" customHeight="1"/>
    <row r="524" s="7" customFormat="1" ht="13.5" customHeight="1"/>
    <row r="525" s="7" customFormat="1" ht="13.5" customHeight="1"/>
    <row r="526" s="7" customFormat="1" ht="13.5" customHeight="1"/>
    <row r="527" s="7" customFormat="1" ht="13.5" customHeight="1"/>
    <row r="528" s="7" customFormat="1" ht="13.5" customHeight="1"/>
    <row r="529" s="7" customFormat="1" ht="13.5" customHeight="1"/>
    <row r="530" s="7" customFormat="1" ht="13.5" customHeight="1"/>
    <row r="531" s="7" customFormat="1" ht="13.5" customHeight="1"/>
    <row r="532" s="7" customFormat="1" ht="13.5" customHeight="1"/>
    <row r="533" s="7" customFormat="1" ht="13.5" customHeight="1"/>
    <row r="534" s="7" customFormat="1" ht="13.5" customHeight="1"/>
    <row r="535" s="7" customFormat="1" ht="13.5" customHeight="1"/>
    <row r="536" s="7" customFormat="1" ht="13.5" customHeight="1"/>
    <row r="537" s="7" customFormat="1" ht="13.5" customHeight="1"/>
    <row r="538" s="7" customFormat="1" ht="13.5" customHeight="1"/>
    <row r="539" s="7" customFormat="1" ht="13.5" customHeight="1"/>
    <row r="540" s="7" customFormat="1" ht="13.5" customHeight="1"/>
    <row r="541" s="7" customFormat="1" ht="13.5" customHeight="1"/>
    <row r="542" s="7" customFormat="1" ht="13.5" customHeight="1"/>
    <row r="543" s="7" customFormat="1" ht="13.5" customHeight="1"/>
    <row r="544" s="7" customFormat="1" ht="13.5" customHeight="1"/>
    <row r="545" s="7" customFormat="1" ht="13.5" customHeight="1"/>
    <row r="546" s="7" customFormat="1" ht="13.5" customHeight="1"/>
    <row r="547" s="7" customFormat="1" ht="13.5" customHeight="1"/>
    <row r="548" s="7" customFormat="1" ht="13.5" customHeight="1"/>
    <row r="549" s="7" customFormat="1" ht="13.5" customHeight="1"/>
    <row r="550" s="7" customFormat="1" ht="13.5" customHeight="1"/>
    <row r="551" s="7" customFormat="1" ht="13.5" customHeight="1"/>
    <row r="552" s="7" customFormat="1" ht="13.5" customHeight="1"/>
    <row r="553" s="7" customFormat="1" ht="13.5" customHeight="1"/>
    <row r="554" s="7" customFormat="1" ht="13.5" customHeight="1"/>
    <row r="555" s="7" customFormat="1" ht="13.5" customHeight="1"/>
    <row r="556" s="7" customFormat="1" ht="13.5" customHeight="1"/>
    <row r="557" s="7" customFormat="1" ht="13.5" customHeight="1"/>
    <row r="558" s="7" customFormat="1" ht="13.5" customHeight="1"/>
    <row r="559" s="7" customFormat="1" ht="13.5" customHeight="1"/>
    <row r="560" s="7" customFormat="1" ht="13.5" customHeight="1"/>
    <row r="561" s="7" customFormat="1" ht="13.5" customHeight="1"/>
    <row r="562" s="7" customFormat="1" ht="13.5" customHeight="1"/>
    <row r="563" s="7" customFormat="1" ht="13.5" customHeight="1"/>
    <row r="564" s="7" customFormat="1" ht="13.5" customHeight="1"/>
    <row r="565" s="7" customFormat="1" ht="13.5" customHeight="1"/>
    <row r="566" s="7" customFormat="1" ht="13.5" customHeight="1"/>
    <row r="567" s="7" customFormat="1" ht="13.5" customHeight="1"/>
    <row r="568" s="7" customFormat="1" ht="13.5" customHeight="1"/>
    <row r="569" s="7" customFormat="1" ht="13.5" customHeight="1"/>
    <row r="570" s="7" customFormat="1" ht="13.5" customHeight="1"/>
    <row r="571" s="7" customFormat="1" ht="13.5" customHeight="1"/>
    <row r="572" s="7" customFormat="1" ht="13.5" customHeight="1"/>
    <row r="573" s="7" customFormat="1" ht="13.5" customHeight="1"/>
    <row r="574" s="7" customFormat="1" ht="13.5" customHeight="1"/>
    <row r="575" s="7" customFormat="1" ht="13.5" customHeight="1"/>
    <row r="576" s="7" customFormat="1" ht="13.5" customHeight="1"/>
    <row r="577" s="7" customFormat="1" ht="13.5" customHeight="1"/>
    <row r="578" s="7" customFormat="1" ht="13.5" customHeight="1"/>
    <row r="579" s="7" customFormat="1" ht="13.5" customHeight="1"/>
    <row r="580" s="7" customFormat="1" ht="13.5" customHeight="1"/>
    <row r="581" s="7" customFormat="1" ht="13.5" customHeight="1"/>
    <row r="582" s="7" customFormat="1" ht="13.5" customHeight="1"/>
    <row r="583" s="7" customFormat="1" ht="13.5" customHeight="1"/>
    <row r="584" s="7" customFormat="1" ht="13.5" customHeight="1"/>
    <row r="585" s="7" customFormat="1" ht="13.5" customHeight="1"/>
    <row r="586" s="7" customFormat="1" ht="13.5" customHeight="1"/>
    <row r="587" s="7" customFormat="1" ht="13.5" customHeight="1"/>
    <row r="588" s="7" customFormat="1" ht="13.5" customHeight="1"/>
    <row r="589" s="7" customFormat="1" ht="13.5" customHeight="1"/>
    <row r="590" s="7" customFormat="1" ht="13.5" customHeight="1"/>
    <row r="591" s="7" customFormat="1" ht="13.5" customHeight="1"/>
    <row r="592" s="7" customFormat="1" ht="13.5" customHeight="1"/>
    <row r="593" s="7" customFormat="1" ht="13.5" customHeight="1"/>
    <row r="594" s="7" customFormat="1" ht="13.5" customHeight="1"/>
    <row r="595" s="7" customFormat="1" ht="13.5" customHeight="1"/>
    <row r="596" s="7" customFormat="1" ht="13.5" customHeight="1"/>
    <row r="597" s="7" customFormat="1" ht="13.5" customHeight="1"/>
    <row r="598" s="7" customFormat="1" ht="13.5" customHeight="1"/>
    <row r="599" s="7" customFormat="1" ht="13.5" customHeight="1"/>
    <row r="600" s="7" customFormat="1" ht="13.5" customHeight="1"/>
    <row r="601" s="7" customFormat="1" ht="13.5" customHeight="1"/>
    <row r="602" s="7" customFormat="1" ht="13.5" customHeight="1"/>
    <row r="603" s="7" customFormat="1" ht="13.5" customHeight="1"/>
    <row r="604" s="7" customFormat="1" ht="13.5" customHeight="1"/>
    <row r="605" s="7" customFormat="1" ht="13.5" customHeight="1"/>
    <row r="606" s="7" customFormat="1" ht="13.5" customHeight="1"/>
    <row r="607" s="7" customFormat="1" ht="13.5" customHeight="1"/>
    <row r="608" s="7" customFormat="1" ht="13.5" customHeight="1"/>
    <row r="609" s="7" customFormat="1" ht="13.5" customHeight="1"/>
    <row r="610" s="7" customFormat="1" ht="13.5" customHeight="1"/>
    <row r="611" s="7" customFormat="1" ht="13.5" customHeight="1"/>
    <row r="612" s="7" customFormat="1" ht="13.5" customHeight="1"/>
    <row r="613" s="7" customFormat="1" ht="13.5" customHeight="1"/>
    <row r="614" s="7" customFormat="1" ht="13.5" customHeight="1"/>
    <row r="615" s="7" customFormat="1" ht="13.5" customHeight="1"/>
    <row r="616" s="7" customFormat="1" ht="13.5" customHeight="1"/>
    <row r="617" s="7" customFormat="1" ht="13.5" customHeight="1"/>
    <row r="618" s="7" customFormat="1" ht="13.5" customHeight="1"/>
    <row r="619" s="7" customFormat="1" ht="13.5" customHeight="1"/>
    <row r="620" s="7" customFormat="1" ht="13.5" customHeight="1"/>
    <row r="621" s="7" customFormat="1" ht="13.5" customHeight="1"/>
    <row r="622" s="7" customFormat="1" ht="13.5" customHeight="1"/>
    <row r="623" s="7" customFormat="1" ht="13.5" customHeight="1"/>
    <row r="624" s="7" customFormat="1" ht="13.5" customHeight="1"/>
    <row r="625" s="7" customFormat="1" ht="13.5" customHeight="1"/>
    <row r="626" s="7" customFormat="1" ht="13.5" customHeight="1"/>
    <row r="627" s="7" customFormat="1" ht="13.5" customHeight="1"/>
    <row r="628" s="7" customFormat="1" ht="13.5" customHeight="1"/>
    <row r="629" s="7" customFormat="1" ht="13.5" customHeight="1"/>
    <row r="630" s="7" customFormat="1" ht="13.5" customHeight="1"/>
    <row r="631" s="7" customFormat="1" ht="13.5" customHeight="1"/>
    <row r="632" s="7" customFormat="1" ht="13.5" customHeight="1"/>
    <row r="633" s="7" customFormat="1" ht="13.5" customHeight="1"/>
    <row r="634" s="7" customFormat="1" ht="13.5" customHeight="1"/>
    <row r="635" s="7" customFormat="1" ht="13.5" customHeight="1"/>
    <row r="636" s="7" customFormat="1" ht="13.5" customHeight="1"/>
    <row r="637" s="7" customFormat="1" ht="13.5" customHeight="1"/>
    <row r="638" s="7" customFormat="1" ht="13.5" customHeight="1"/>
    <row r="639" s="7" customFormat="1" ht="13.5" customHeight="1"/>
    <row r="640" s="7" customFormat="1" ht="13.5" customHeight="1"/>
    <row r="641" s="7" customFormat="1" ht="13.5" customHeight="1"/>
    <row r="642" s="7" customFormat="1" ht="13.5" customHeight="1"/>
    <row r="643" s="7" customFormat="1" ht="13.5" customHeight="1"/>
    <row r="644" s="7" customFormat="1" ht="13.5" customHeight="1"/>
    <row r="645" s="7" customFormat="1" ht="13.5" customHeight="1"/>
    <row r="646" s="7" customFormat="1" ht="13.5" customHeight="1"/>
    <row r="647" s="7" customFormat="1" ht="13.5" customHeight="1"/>
    <row r="648" s="7" customFormat="1" ht="13.5" customHeight="1"/>
    <row r="649" s="7" customFormat="1" ht="13.5" customHeight="1"/>
    <row r="650" s="7" customFormat="1" ht="13.5" customHeight="1"/>
    <row r="651" s="7" customFormat="1" ht="13.5" customHeight="1"/>
    <row r="652" s="7" customFormat="1" ht="13.5" customHeight="1"/>
    <row r="653" s="7" customFormat="1" ht="13.5" customHeight="1"/>
    <row r="654" s="7" customFormat="1" ht="13.5" customHeight="1"/>
    <row r="655" s="7" customFormat="1" ht="13.5" customHeight="1"/>
    <row r="656" s="7" customFormat="1" ht="13.5" customHeight="1"/>
    <row r="657" s="7" customFormat="1" ht="13.5" customHeight="1"/>
    <row r="658" s="7" customFormat="1" ht="13.5" customHeight="1"/>
    <row r="659" s="7" customFormat="1" ht="13.5" customHeight="1"/>
    <row r="660" s="7" customFormat="1" ht="13.5" customHeight="1"/>
    <row r="661" s="7" customFormat="1" ht="13.5" customHeight="1"/>
    <row r="662" s="7" customFormat="1" ht="13.5" customHeight="1"/>
    <row r="663" s="7" customFormat="1" ht="13.5" customHeight="1"/>
    <row r="664" s="7" customFormat="1" ht="13.5" customHeight="1"/>
    <row r="665" s="7" customFormat="1" ht="13.5" customHeight="1"/>
    <row r="666" s="7" customFormat="1" ht="13.5" customHeight="1"/>
    <row r="667" s="7" customFormat="1" ht="13.5" customHeight="1"/>
    <row r="668" s="7" customFormat="1" ht="13.5" customHeight="1"/>
    <row r="669" s="7" customFormat="1" ht="13.5" customHeight="1"/>
    <row r="670" s="7" customFormat="1" ht="13.5" customHeight="1"/>
    <row r="671" s="7" customFormat="1" ht="13.5" customHeight="1"/>
    <row r="672" s="7" customFormat="1" ht="13.5" customHeight="1"/>
    <row r="673" s="7" customFormat="1" ht="13.5" customHeight="1"/>
    <row r="674" s="7" customFormat="1" ht="13.5" customHeight="1"/>
    <row r="675" s="7" customFormat="1" ht="13.5" customHeight="1"/>
    <row r="676" s="7" customFormat="1" ht="13.5" customHeight="1"/>
    <row r="677" s="7" customFormat="1" ht="13.5" customHeight="1"/>
    <row r="678" s="7" customFormat="1" ht="13.5" customHeight="1"/>
    <row r="679" s="7" customFormat="1" ht="13.5" customHeight="1"/>
    <row r="680" s="7" customFormat="1" ht="13.5" customHeight="1"/>
    <row r="681" s="7" customFormat="1" ht="13.5" customHeight="1"/>
    <row r="682" s="7" customFormat="1" ht="13.5" customHeight="1"/>
    <row r="683" s="7" customFormat="1" ht="13.5" customHeight="1"/>
    <row r="684" s="7" customFormat="1" ht="13.5" customHeight="1"/>
    <row r="685" s="7" customFormat="1" ht="13.5" customHeight="1"/>
    <row r="686" s="7" customFormat="1" ht="13.5" customHeight="1"/>
    <row r="687" s="7" customFormat="1" ht="13.5" customHeight="1"/>
    <row r="688" s="7" customFormat="1" ht="13.5" customHeight="1"/>
    <row r="689" s="7" customFormat="1" ht="13.5" customHeight="1"/>
    <row r="690" s="7" customFormat="1" ht="13.5" customHeight="1"/>
    <row r="691" s="7" customFormat="1" ht="13.5" customHeight="1"/>
    <row r="692" s="7" customFormat="1" ht="13.5" customHeight="1"/>
    <row r="693" s="7" customFormat="1" ht="13.5" customHeight="1"/>
    <row r="694" s="7" customFormat="1" ht="13.5" customHeight="1"/>
    <row r="695" s="7" customFormat="1" ht="13.5" customHeight="1"/>
    <row r="696" s="7" customFormat="1" ht="13.5" customHeight="1"/>
    <row r="697" s="7" customFormat="1" ht="13.5" customHeight="1"/>
    <row r="698" s="7" customFormat="1" ht="13.5" customHeight="1"/>
    <row r="699" s="7" customFormat="1" ht="13.5" customHeight="1"/>
    <row r="700" s="7" customFormat="1" ht="13.5" customHeight="1"/>
    <row r="701" s="7" customFormat="1" ht="13.5" customHeight="1"/>
    <row r="702" s="7" customFormat="1" ht="13.5" customHeight="1"/>
    <row r="703" s="7" customFormat="1" ht="13.5" customHeight="1"/>
    <row r="704" s="7" customFormat="1" ht="13.5" customHeight="1"/>
    <row r="705" s="7" customFormat="1" ht="13.5" customHeight="1"/>
    <row r="706" s="7" customFormat="1" ht="13.5" customHeight="1"/>
    <row r="707" s="7" customFormat="1" ht="13.5" customHeight="1"/>
    <row r="708" s="7" customFormat="1" ht="13.5" customHeight="1"/>
    <row r="709" s="7" customFormat="1" ht="13.5" customHeight="1"/>
    <row r="710" s="7" customFormat="1" ht="13.5" customHeight="1"/>
    <row r="711" s="7" customFormat="1" ht="13.5" customHeight="1"/>
    <row r="712" s="7" customFormat="1" ht="13.5" customHeight="1"/>
    <row r="713" s="7" customFormat="1" ht="13.5" customHeight="1"/>
    <row r="714" s="7" customFormat="1" ht="13.5" customHeight="1"/>
    <row r="715" s="7" customFormat="1" ht="13.5" customHeight="1"/>
    <row r="716" s="7" customFormat="1" ht="13.5" customHeight="1"/>
    <row r="717" s="7" customFormat="1" ht="13.5" customHeight="1"/>
    <row r="718" s="7" customFormat="1" ht="13.5" customHeight="1"/>
    <row r="719" s="7" customFormat="1" ht="13.5" customHeight="1"/>
    <row r="720" s="7" customFormat="1" ht="13.5" customHeight="1"/>
    <row r="721" s="7" customFormat="1" ht="13.5" customHeight="1"/>
    <row r="722" s="7" customFormat="1" ht="13.5" customHeight="1"/>
    <row r="723" s="7" customFormat="1" ht="13.5" customHeight="1"/>
    <row r="724" s="7" customFormat="1" ht="13.5" customHeight="1"/>
    <row r="725" s="7" customFormat="1" ht="13.5" customHeight="1"/>
    <row r="726" s="7" customFormat="1" ht="13.5" customHeight="1"/>
    <row r="727" s="7" customFormat="1" ht="13.5" customHeight="1"/>
    <row r="728" s="7" customFormat="1" ht="13.5" customHeight="1"/>
    <row r="729" s="7" customFormat="1" ht="13.5" customHeight="1"/>
    <row r="730" s="7" customFormat="1" ht="13.5" customHeight="1"/>
    <row r="731" s="7" customFormat="1" ht="13.5" customHeight="1"/>
    <row r="732" s="7" customFormat="1" ht="13.5" customHeight="1"/>
    <row r="733" s="7" customFormat="1" ht="13.5" customHeight="1"/>
    <row r="734" s="7" customFormat="1" ht="13.5" customHeight="1"/>
    <row r="735" s="7" customFormat="1" ht="13.5" customHeight="1"/>
    <row r="736" s="7" customFormat="1" ht="13.5" customHeight="1"/>
    <row r="737" s="7" customFormat="1" ht="13.5" customHeight="1"/>
    <row r="738" s="7" customFormat="1" ht="13.5" customHeight="1"/>
    <row r="739" s="7" customFormat="1" ht="13.5" customHeight="1"/>
    <row r="740" s="7" customFormat="1" ht="13.5" customHeight="1"/>
    <row r="741" s="7" customFormat="1" ht="13.5" customHeight="1"/>
    <row r="742" s="7" customFormat="1" ht="13.5" customHeight="1"/>
    <row r="743" s="7" customFormat="1" ht="13.5" customHeight="1"/>
    <row r="744" s="7" customFormat="1" ht="13.5" customHeight="1"/>
    <row r="745" s="7" customFormat="1" ht="13.5" customHeight="1"/>
    <row r="746" s="7" customFormat="1" ht="13.5" customHeight="1"/>
    <row r="747" s="7" customFormat="1" ht="13.5" customHeight="1"/>
    <row r="748" s="7" customFormat="1" ht="13.5" customHeight="1"/>
    <row r="749" s="7" customFormat="1" ht="13.5" customHeight="1"/>
    <row r="750" s="7" customFormat="1" ht="13.5" customHeight="1"/>
    <row r="751" s="7" customFormat="1" ht="13.5" customHeight="1"/>
    <row r="752" s="7" customFormat="1" ht="13.5" customHeight="1"/>
    <row r="753" s="7" customFormat="1" ht="13.5" customHeight="1"/>
    <row r="754" s="7" customFormat="1" ht="13.5" customHeight="1"/>
    <row r="755" s="7" customFormat="1" ht="13.5" customHeight="1"/>
    <row r="756" s="7" customFormat="1" ht="13.5" customHeight="1"/>
    <row r="757" s="7" customFormat="1" ht="13.5" customHeight="1"/>
    <row r="758" s="7" customFormat="1" ht="13.5" customHeight="1"/>
    <row r="759" s="7" customFormat="1" ht="13.5" customHeight="1"/>
    <row r="760" s="7" customFormat="1" ht="13.5" customHeight="1"/>
    <row r="761" s="7" customFormat="1" ht="13.5" customHeight="1"/>
    <row r="762" s="7" customFormat="1" ht="13.5" customHeight="1"/>
    <row r="763" s="7" customFormat="1" ht="13.5" customHeight="1"/>
    <row r="764" s="7" customFormat="1" ht="13.5" customHeight="1"/>
    <row r="765" s="7" customFormat="1" ht="13.5" customHeight="1"/>
    <row r="766" s="7" customFormat="1" ht="13.5" customHeight="1"/>
    <row r="767" s="7" customFormat="1" ht="13.5" customHeight="1"/>
    <row r="768" s="7" customFormat="1" ht="13.5" customHeight="1"/>
    <row r="769" s="7" customFormat="1" ht="13.5" customHeight="1"/>
    <row r="770" s="7" customFormat="1" ht="13.5" customHeight="1"/>
    <row r="771" s="7" customFormat="1" ht="13.5" customHeight="1"/>
    <row r="772" s="7" customFormat="1" ht="13.5" customHeight="1"/>
    <row r="773" s="7" customFormat="1" ht="13.5" customHeight="1"/>
    <row r="774" s="7" customFormat="1" ht="13.5" customHeight="1"/>
    <row r="775" s="7" customFormat="1" ht="13.5" customHeight="1"/>
    <row r="776" s="7" customFormat="1" ht="13.5" customHeight="1"/>
    <row r="777" s="7" customFormat="1" ht="13.5" customHeight="1"/>
    <row r="778" s="7" customFormat="1" ht="13.5" customHeight="1"/>
    <row r="779" s="7" customFormat="1" ht="13.5" customHeight="1"/>
    <row r="780" s="7" customFormat="1" ht="13.5" customHeight="1"/>
    <row r="781" s="7" customFormat="1" ht="13.5" customHeight="1"/>
    <row r="782" s="7" customFormat="1" ht="13.5" customHeight="1"/>
    <row r="783" s="7" customFormat="1" ht="13.5" customHeight="1"/>
    <row r="784" s="7" customFormat="1" ht="13.5" customHeight="1"/>
    <row r="785" s="7" customFormat="1" ht="13.5" customHeight="1"/>
    <row r="786" s="7" customFormat="1" ht="13.5" customHeight="1"/>
    <row r="787" s="7" customFormat="1" ht="13.5" customHeight="1"/>
    <row r="788" s="7" customFormat="1" ht="13.5" customHeight="1"/>
    <row r="789" s="7" customFormat="1" ht="13.5" customHeight="1"/>
    <row r="790" s="7" customFormat="1" ht="13.5" customHeight="1"/>
    <row r="791" s="7" customFormat="1" ht="13.5" customHeight="1"/>
    <row r="792" s="7" customFormat="1" ht="13.5" customHeight="1"/>
    <row r="793" s="7" customFormat="1" ht="13.5" customHeight="1"/>
    <row r="794" s="7" customFormat="1" ht="13.5" customHeight="1"/>
    <row r="795" s="7" customFormat="1" ht="13.5" customHeight="1"/>
    <row r="796" s="7" customFormat="1" ht="13.5" customHeight="1"/>
    <row r="797" s="7" customFormat="1" ht="13.5" customHeight="1"/>
    <row r="798" s="7" customFormat="1" ht="13.5" customHeight="1"/>
    <row r="799" s="7" customFormat="1" ht="13.5" customHeight="1"/>
    <row r="800" s="7" customFormat="1" ht="13.5" customHeight="1"/>
    <row r="801" s="7" customFormat="1" ht="13.5" customHeight="1"/>
    <row r="802" s="7" customFormat="1" ht="13.5" customHeight="1"/>
    <row r="803" s="7" customFormat="1" ht="13.5" customHeight="1"/>
    <row r="804" s="7" customFormat="1" ht="13.5" customHeight="1"/>
    <row r="805" s="7" customFormat="1" ht="13.5" customHeight="1"/>
    <row r="806" s="7" customFormat="1" ht="13.5" customHeight="1"/>
    <row r="807" s="7" customFormat="1" ht="13.5" customHeight="1"/>
    <row r="808" s="7" customFormat="1" ht="13.5" customHeight="1"/>
    <row r="809" s="7" customFormat="1" ht="13.5" customHeight="1"/>
    <row r="810" s="7" customFormat="1" ht="13.5" customHeight="1"/>
    <row r="811" s="7" customFormat="1" ht="13.5" customHeight="1"/>
    <row r="812" s="7" customFormat="1" ht="13.5" customHeight="1"/>
    <row r="813" s="7" customFormat="1" ht="13.5" customHeight="1"/>
    <row r="814" s="7" customFormat="1" ht="13.5" customHeight="1"/>
    <row r="815" s="7" customFormat="1" ht="13.5" customHeight="1"/>
    <row r="816" s="7" customFormat="1" ht="13.5" customHeight="1"/>
    <row r="817" s="7" customFormat="1" ht="13.5" customHeight="1"/>
    <row r="818" s="7" customFormat="1" ht="13.5" customHeight="1"/>
    <row r="819" s="7" customFormat="1" ht="13.5" customHeight="1"/>
    <row r="820" s="7" customFormat="1" ht="13.5" customHeight="1"/>
    <row r="821" s="7" customFormat="1" ht="13.5" customHeight="1"/>
    <row r="822" s="7" customFormat="1" ht="13.5" customHeight="1"/>
    <row r="823" s="7" customFormat="1" ht="13.5" customHeight="1"/>
    <row r="824" s="7" customFormat="1" ht="13.5" customHeight="1"/>
    <row r="825" s="7" customFormat="1" ht="13.5" customHeight="1"/>
    <row r="826" s="7" customFormat="1" ht="13.5" customHeight="1"/>
    <row r="827" s="7" customFormat="1" ht="13.5" customHeight="1"/>
    <row r="828" s="7" customFormat="1" ht="13.5" customHeight="1"/>
    <row r="829" s="7" customFormat="1" ht="13.5" customHeight="1"/>
    <row r="830" s="7" customFormat="1" ht="13.5" customHeight="1"/>
    <row r="831" s="7" customFormat="1" ht="13.5" customHeight="1"/>
    <row r="832" s="7" customFormat="1" ht="13.5" customHeight="1"/>
    <row r="833" s="7" customFormat="1" ht="13.5" customHeight="1"/>
    <row r="834" s="7" customFormat="1" ht="13.5" customHeight="1"/>
    <row r="835" s="7" customFormat="1" ht="13.5" customHeight="1"/>
    <row r="836" s="7" customFormat="1" ht="13.5" customHeight="1"/>
    <row r="837" s="7" customFormat="1" ht="13.5" customHeight="1"/>
    <row r="838" s="7" customFormat="1" ht="13.5" customHeight="1"/>
    <row r="839" s="7" customFormat="1" ht="13.5" customHeight="1"/>
    <row r="840" s="7" customFormat="1" ht="13.5" customHeight="1"/>
    <row r="841" s="7" customFormat="1" ht="13.5" customHeight="1"/>
    <row r="842" s="7" customFormat="1" ht="13.5" customHeight="1"/>
    <row r="843" s="7" customFormat="1" ht="13.5" customHeight="1"/>
    <row r="844" s="7" customFormat="1" ht="13.5" customHeight="1"/>
    <row r="845" s="7" customFormat="1" ht="13.5" customHeight="1"/>
    <row r="846" s="7" customFormat="1" ht="13.5" customHeight="1"/>
    <row r="847" s="7" customFormat="1" ht="13.5" customHeight="1"/>
    <row r="848" s="7" customFormat="1" ht="13.5" customHeight="1"/>
    <row r="849" s="7" customFormat="1" ht="13.5" customHeight="1"/>
    <row r="850" s="7" customFormat="1" ht="13.5" customHeight="1"/>
    <row r="851" s="7" customFormat="1" ht="13.5" customHeight="1"/>
    <row r="852" s="7" customFormat="1" ht="13.5" customHeight="1"/>
    <row r="853" s="7" customFormat="1" ht="13.5" customHeight="1"/>
    <row r="854" s="7" customFormat="1" ht="13.5" customHeight="1"/>
    <row r="855" s="7" customFormat="1" ht="13.5" customHeight="1"/>
    <row r="856" s="7" customFormat="1" ht="13.5" customHeight="1"/>
    <row r="857" s="7" customFormat="1" ht="13.5" customHeight="1"/>
    <row r="858" s="7" customFormat="1" ht="13.5" customHeight="1"/>
    <row r="859" s="7" customFormat="1" ht="13.5" customHeight="1"/>
    <row r="860" s="7" customFormat="1" ht="13.5" customHeight="1"/>
    <row r="861" s="7" customFormat="1" ht="13.5" customHeight="1"/>
    <row r="862" s="7" customFormat="1" ht="13.5" customHeight="1"/>
    <row r="863" s="7" customFormat="1" ht="13.5" customHeight="1"/>
    <row r="864" s="7" customFormat="1" ht="13.5" customHeight="1"/>
    <row r="865" s="7" customFormat="1" ht="13.5" customHeight="1"/>
    <row r="866" s="7" customFormat="1" ht="13.5" customHeight="1"/>
    <row r="867" s="7" customFormat="1" ht="13.5" customHeight="1"/>
    <row r="868" s="7" customFormat="1" ht="13.5" customHeight="1"/>
    <row r="869" s="7" customFormat="1" ht="13.5" customHeight="1"/>
    <row r="870" s="7" customFormat="1" ht="13.5" customHeight="1"/>
    <row r="871" s="7" customFormat="1" ht="13.5" customHeight="1"/>
    <row r="872" s="7" customFormat="1" ht="13.5" customHeight="1"/>
    <row r="873" s="7" customFormat="1" ht="13.5" customHeight="1"/>
    <row r="874" s="7" customFormat="1" ht="13.5" customHeight="1"/>
    <row r="875" s="7" customFormat="1" ht="13.5" customHeight="1"/>
    <row r="876" s="7" customFormat="1" ht="13.5" customHeight="1"/>
    <row r="877" s="7" customFormat="1" ht="13.5" customHeight="1"/>
    <row r="878" s="7" customFormat="1" ht="13.5" customHeight="1"/>
    <row r="879" s="7" customFormat="1" ht="13.5" customHeight="1"/>
    <row r="880" s="7" customFormat="1" ht="13.5" customHeight="1"/>
    <row r="881" s="7" customFormat="1" ht="13.5" customHeight="1"/>
    <row r="882" s="7" customFormat="1" ht="13.5" customHeight="1"/>
    <row r="883" s="7" customFormat="1" ht="13.5" customHeight="1"/>
    <row r="884" s="7" customFormat="1" ht="13.5" customHeight="1"/>
    <row r="885" s="7" customFormat="1" ht="13.5" customHeight="1"/>
    <row r="886" s="7" customFormat="1" ht="13.5" customHeight="1"/>
    <row r="887" s="7" customFormat="1" ht="13.5" customHeight="1"/>
    <row r="888" s="7" customFormat="1" ht="13.5" customHeight="1"/>
    <row r="889" s="7" customFormat="1" ht="13.5" customHeight="1"/>
    <row r="890" s="7" customFormat="1" ht="13.5" customHeight="1"/>
    <row r="891" s="7" customFormat="1" ht="13.5" customHeight="1"/>
    <row r="892" s="7" customFormat="1" ht="13.5" customHeight="1"/>
    <row r="893" s="7" customFormat="1" ht="13.5" customHeight="1"/>
    <row r="894" s="7" customFormat="1" ht="13.5" customHeight="1"/>
    <row r="895" s="7" customFormat="1" ht="13.5" customHeight="1"/>
    <row r="896" s="7" customFormat="1" ht="13.5" customHeight="1"/>
    <row r="897" s="7" customFormat="1" ht="13.5" customHeight="1"/>
    <row r="898" s="7" customFormat="1" ht="13.5" customHeight="1"/>
    <row r="899" s="7" customFormat="1" ht="13.5" customHeight="1"/>
    <row r="900" s="7" customFormat="1" ht="13.5" customHeight="1"/>
    <row r="901" s="7" customFormat="1" ht="13.5" customHeight="1"/>
    <row r="902" s="7" customFormat="1" ht="13.5" customHeight="1"/>
    <row r="903" s="7" customFormat="1" ht="13.5" customHeight="1"/>
    <row r="904" s="7" customFormat="1" ht="13.5" customHeight="1"/>
    <row r="905" s="7" customFormat="1" ht="13.5" customHeight="1"/>
    <row r="906" s="7" customFormat="1" ht="13.5" customHeight="1"/>
    <row r="907" s="7" customFormat="1" ht="13.5" customHeight="1"/>
    <row r="908" s="7" customFormat="1" ht="13.5" customHeight="1"/>
    <row r="909" s="7" customFormat="1" ht="13.5" customHeight="1"/>
    <row r="910" s="7" customFormat="1" ht="13.5" customHeight="1"/>
    <row r="911" s="7" customFormat="1" ht="13.5" customHeight="1"/>
    <row r="912" s="7" customFormat="1" ht="13.5" customHeight="1"/>
    <row r="913" s="7" customFormat="1" ht="13.5" customHeight="1"/>
    <row r="914" s="7" customFormat="1" ht="13.5" customHeight="1"/>
    <row r="915" s="7" customFormat="1" ht="13.5" customHeight="1"/>
    <row r="916" s="7" customFormat="1" ht="13.5" customHeight="1"/>
    <row r="917" s="7" customFormat="1" ht="13.5" customHeight="1"/>
    <row r="918" s="7" customFormat="1" ht="13.5" customHeight="1"/>
    <row r="919" s="7" customFormat="1" ht="13.5" customHeight="1"/>
    <row r="920" s="7" customFormat="1" ht="13.5" customHeight="1"/>
    <row r="921" s="7" customFormat="1" ht="13.5" customHeight="1"/>
    <row r="922" s="7" customFormat="1" ht="13.5" customHeight="1"/>
    <row r="923" s="7" customFormat="1" ht="13.5" customHeight="1"/>
    <row r="924" s="7" customFormat="1" ht="13.5" customHeight="1"/>
    <row r="925" s="7" customFormat="1" ht="13.5" customHeight="1"/>
    <row r="926" s="7" customFormat="1" ht="13.5" customHeight="1"/>
    <row r="927" s="7" customFormat="1" ht="13.5" customHeight="1"/>
    <row r="928" s="7" customFormat="1" ht="13.5" customHeight="1"/>
    <row r="929" s="7" customFormat="1" ht="13.5" customHeight="1"/>
    <row r="930" s="7" customFormat="1" ht="13.5" customHeight="1"/>
    <row r="931" s="7" customFormat="1" ht="13.5" customHeight="1"/>
    <row r="932" s="7" customFormat="1" ht="13.5" customHeight="1"/>
    <row r="933" s="7" customFormat="1" ht="13.5" customHeight="1"/>
    <row r="934" s="7" customFormat="1" ht="13.5" customHeight="1"/>
    <row r="935" s="7" customFormat="1" ht="13.5" customHeight="1"/>
    <row r="936" s="7" customFormat="1" ht="13.5" customHeight="1"/>
    <row r="937" s="7" customFormat="1" ht="13.5" customHeight="1"/>
    <row r="938" s="7" customFormat="1" ht="13.5" customHeight="1"/>
    <row r="939" s="7" customFormat="1" ht="13.5" customHeight="1"/>
    <row r="940" s="7" customFormat="1" ht="13.5" customHeight="1"/>
    <row r="941" s="7" customFormat="1" ht="13.5" customHeight="1"/>
    <row r="942" s="7" customFormat="1" ht="13.5" customHeight="1"/>
    <row r="943" s="7" customFormat="1" ht="13.5" customHeight="1"/>
    <row r="944" s="7" customFormat="1" ht="13.5" customHeight="1"/>
    <row r="945" s="7" customFormat="1" ht="13.5" customHeight="1"/>
    <row r="946" s="7" customFormat="1" ht="13.5" customHeight="1"/>
    <row r="947" s="7" customFormat="1" ht="13.5" customHeight="1"/>
    <row r="948" s="7" customFormat="1" ht="13.5" customHeight="1"/>
    <row r="949" s="7" customFormat="1" ht="13.5" customHeight="1"/>
    <row r="950" s="7" customFormat="1" ht="13.5" customHeight="1"/>
    <row r="951" s="7" customFormat="1" ht="13.5" customHeight="1"/>
    <row r="952" s="7" customFormat="1" ht="13.5" customHeight="1"/>
    <row r="953" s="7" customFormat="1" ht="13.5" customHeight="1"/>
    <row r="954" s="7" customFormat="1" ht="13.5" customHeight="1"/>
    <row r="955" s="7" customFormat="1" ht="13.5" customHeight="1"/>
    <row r="956" s="7" customFormat="1" ht="13.5" customHeight="1"/>
    <row r="957" s="7" customFormat="1" ht="13.5" customHeight="1"/>
    <row r="958" s="7" customFormat="1" ht="13.5" customHeight="1"/>
    <row r="959" s="7" customFormat="1" ht="13.5" customHeight="1"/>
    <row r="960" s="7" customFormat="1" ht="13.5" customHeight="1"/>
    <row r="961" s="7" customFormat="1" ht="13.5" customHeight="1"/>
    <row r="962" s="7" customFormat="1" ht="13.5" customHeight="1"/>
    <row r="963" s="7" customFormat="1" ht="13.5" customHeight="1"/>
    <row r="964" s="7" customFormat="1" ht="13.5" customHeight="1"/>
    <row r="965" s="7" customFormat="1" ht="13.5" customHeight="1"/>
    <row r="966" s="7" customFormat="1" ht="13.5" customHeight="1"/>
    <row r="967" s="7" customFormat="1" ht="13.5" customHeight="1"/>
    <row r="968" s="7" customFormat="1" ht="13.5" customHeight="1"/>
    <row r="969" s="7" customFormat="1" ht="13.5" customHeight="1"/>
    <row r="970" s="7" customFormat="1" ht="13.5" customHeight="1"/>
    <row r="971" s="7" customFormat="1" ht="13.5" customHeight="1"/>
    <row r="972" s="7" customFormat="1" ht="13.5" customHeight="1"/>
    <row r="973" s="7" customFormat="1" ht="13.5" customHeight="1"/>
    <row r="974" s="7" customFormat="1" ht="13.5" customHeight="1"/>
    <row r="975" s="7" customFormat="1" ht="13.5" customHeight="1"/>
    <row r="976" s="7" customFormat="1" ht="13.5" customHeight="1"/>
    <row r="977" s="7" customFormat="1" ht="13.5" customHeight="1"/>
    <row r="978" s="7" customFormat="1" ht="13.5" customHeight="1"/>
    <row r="979" s="7" customFormat="1" ht="13.5" customHeight="1"/>
    <row r="980" s="7" customFormat="1" ht="13.5" customHeight="1"/>
    <row r="981" s="7" customFormat="1" ht="13.5" customHeight="1"/>
    <row r="982" s="7" customFormat="1" ht="13.5" customHeight="1"/>
    <row r="983" s="7" customFormat="1" ht="13.5" customHeight="1"/>
    <row r="984" s="7" customFormat="1" ht="13.5" customHeight="1"/>
    <row r="985" s="7" customFormat="1" ht="13.5" customHeight="1"/>
    <row r="986" s="7" customFormat="1" ht="13.5" customHeight="1"/>
    <row r="987" s="7" customFormat="1" ht="13.5" customHeight="1"/>
    <row r="988" s="7" customFormat="1" ht="13.5" customHeight="1"/>
    <row r="989" s="7" customFormat="1" ht="13.5" customHeight="1"/>
    <row r="990" s="7" customFormat="1" ht="13.5" customHeight="1"/>
    <row r="991" s="7" customFormat="1" ht="13.5" customHeight="1"/>
    <row r="992" s="7" customFormat="1" ht="13.5" customHeight="1"/>
    <row r="993" s="7" customFormat="1" ht="13.5" customHeight="1"/>
    <row r="994" s="7" customFormat="1" ht="13.5" customHeight="1"/>
    <row r="995" s="7" customFormat="1" ht="13.5" customHeight="1"/>
    <row r="996" s="7" customFormat="1" ht="13.5" customHeight="1"/>
    <row r="997" s="7" customFormat="1" ht="13.5" customHeight="1"/>
    <row r="998" s="7" customFormat="1" ht="13.5" customHeight="1"/>
    <row r="999" s="7" customFormat="1" ht="13.5" customHeight="1"/>
    <row r="1000" s="7" customFormat="1" ht="13.5" customHeight="1"/>
  </sheetData>
  <mergeCells count="13">
    <mergeCell ref="B4:D4"/>
    <mergeCell ref="E4:G4"/>
    <mergeCell ref="H4:J4"/>
    <mergeCell ref="B12:D12"/>
    <mergeCell ref="E12:G12"/>
    <mergeCell ref="H12:J12"/>
    <mergeCell ref="B13:D13"/>
    <mergeCell ref="B21:D21"/>
    <mergeCell ref="E21:G21"/>
    <mergeCell ref="H21:J21"/>
    <mergeCell ref="B29:D29"/>
    <mergeCell ref="E29:G29"/>
    <mergeCell ref="E13:G1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showGridLines="0" topLeftCell="A21" workbookViewId="0">
      <selection activeCell="A27" sqref="A27:XFD31"/>
    </sheetView>
  </sheetViews>
  <sheetFormatPr defaultColWidth="12.6640625" defaultRowHeight="15" customHeight="1"/>
  <cols>
    <col min="1" max="1" width="54.5" style="7" customWidth="1"/>
    <col min="2" max="5" width="14.1640625" style="7" customWidth="1"/>
    <col min="6" max="11" width="11.4140625" style="7" customWidth="1"/>
    <col min="12" max="12" width="12.75" style="7" customWidth="1"/>
    <col min="13" max="26" width="8.6640625" style="7" customWidth="1"/>
    <col min="27" max="16384" width="12.6640625" style="7"/>
  </cols>
  <sheetData>
    <row r="1" spans="1:12" s="373" customFormat="1" ht="13.5" customHeight="1">
      <c r="A1" s="374" t="s">
        <v>68</v>
      </c>
      <c r="B1" s="374"/>
      <c r="C1" s="374"/>
      <c r="D1" s="374"/>
      <c r="E1" s="374"/>
      <c r="F1" s="374"/>
      <c r="G1" s="225"/>
      <c r="H1" s="225"/>
      <c r="I1" s="225"/>
      <c r="J1" s="225"/>
      <c r="K1" s="225"/>
    </row>
    <row r="2" spans="1:12" s="373" customFormat="1" ht="13.5" customHeight="1">
      <c r="A2" s="391"/>
      <c r="B2" s="392"/>
      <c r="C2" s="392"/>
      <c r="D2" s="392"/>
      <c r="E2" s="392"/>
      <c r="F2" s="392"/>
      <c r="G2" s="226"/>
      <c r="H2" s="226"/>
      <c r="I2" s="226"/>
      <c r="J2" s="392"/>
      <c r="K2" s="392" t="s">
        <v>69</v>
      </c>
    </row>
    <row r="3" spans="1:12" ht="13.5" customHeight="1">
      <c r="A3" s="320"/>
      <c r="B3" s="179" t="s">
        <v>2</v>
      </c>
      <c r="C3" s="179" t="s">
        <v>3</v>
      </c>
      <c r="D3" s="179" t="s">
        <v>4</v>
      </c>
      <c r="E3" s="179" t="s">
        <v>484</v>
      </c>
      <c r="F3" s="179" t="s">
        <v>485</v>
      </c>
      <c r="G3" s="179" t="s">
        <v>7</v>
      </c>
      <c r="H3" s="179" t="s">
        <v>8</v>
      </c>
      <c r="I3" s="179" t="s">
        <v>9</v>
      </c>
      <c r="J3" s="181" t="s">
        <v>10</v>
      </c>
      <c r="K3" s="181" t="s">
        <v>56</v>
      </c>
      <c r="L3" s="181" t="s">
        <v>12</v>
      </c>
    </row>
    <row r="4" spans="1:12" ht="13.5" customHeight="1">
      <c r="A4" s="321" t="s">
        <v>486</v>
      </c>
      <c r="B4" s="322">
        <v>560761.63</v>
      </c>
      <c r="C4" s="322">
        <v>625050.38</v>
      </c>
      <c r="D4" s="322">
        <v>640546.17000000004</v>
      </c>
      <c r="E4" s="322">
        <v>685329.95</v>
      </c>
      <c r="F4" s="322">
        <v>706936.33</v>
      </c>
      <c r="G4" s="323">
        <v>694052.52</v>
      </c>
      <c r="H4" s="323">
        <v>876707.22</v>
      </c>
      <c r="I4" s="323">
        <v>941575.75</v>
      </c>
      <c r="J4" s="323">
        <v>1096916.99</v>
      </c>
      <c r="K4" s="323">
        <v>1099268.98</v>
      </c>
      <c r="L4" s="323">
        <v>1289917.1399999999</v>
      </c>
    </row>
    <row r="5" spans="1:12" ht="13.5" customHeight="1">
      <c r="A5" s="196" t="s">
        <v>70</v>
      </c>
      <c r="B5" s="324">
        <v>313355.51</v>
      </c>
      <c r="C5" s="324">
        <v>337661.39</v>
      </c>
      <c r="D5" s="324">
        <v>363305.11</v>
      </c>
      <c r="E5" s="324">
        <v>393439.73</v>
      </c>
      <c r="F5" s="324">
        <v>399201.24</v>
      </c>
      <c r="G5" s="324">
        <v>363343.07</v>
      </c>
      <c r="H5" s="324">
        <v>462356.8</v>
      </c>
      <c r="I5" s="324">
        <v>494904.36</v>
      </c>
      <c r="J5" s="325">
        <v>608814.30000000005</v>
      </c>
      <c r="K5" s="325">
        <v>560501.49</v>
      </c>
      <c r="L5" s="325">
        <v>652374.47</v>
      </c>
    </row>
    <row r="6" spans="1:12" ht="13.5" customHeight="1">
      <c r="A6" s="196" t="s">
        <v>71</v>
      </c>
      <c r="B6" s="324">
        <v>247406.13</v>
      </c>
      <c r="C6" s="324">
        <v>287388.99</v>
      </c>
      <c r="D6" s="324">
        <v>277241.06</v>
      </c>
      <c r="E6" s="324">
        <v>291890.21999999997</v>
      </c>
      <c r="F6" s="324">
        <v>307735.09000000003</v>
      </c>
      <c r="G6" s="324">
        <v>330709.45</v>
      </c>
      <c r="H6" s="324">
        <v>414350.41</v>
      </c>
      <c r="I6" s="324">
        <v>446671.4</v>
      </c>
      <c r="J6" s="325">
        <v>488102.7</v>
      </c>
      <c r="K6" s="325">
        <v>538767.49</v>
      </c>
      <c r="L6" s="325">
        <v>637542.66</v>
      </c>
    </row>
    <row r="7" spans="1:12" ht="13.5" customHeight="1">
      <c r="A7" s="321" t="s">
        <v>72</v>
      </c>
      <c r="B7" s="326">
        <v>289213.46999999997</v>
      </c>
      <c r="C7" s="326">
        <v>339033.92</v>
      </c>
      <c r="D7" s="326">
        <v>357128.74</v>
      </c>
      <c r="E7" s="326">
        <v>414143.41</v>
      </c>
      <c r="F7" s="326">
        <v>383713.19</v>
      </c>
      <c r="G7" s="326">
        <v>410758.40000000002</v>
      </c>
      <c r="H7" s="326">
        <v>523097.64</v>
      </c>
      <c r="I7" s="326">
        <v>550439.76</v>
      </c>
      <c r="J7" s="322">
        <v>645488.79</v>
      </c>
      <c r="K7" s="322">
        <v>660728.71</v>
      </c>
      <c r="L7" s="322">
        <v>771704.06</v>
      </c>
    </row>
    <row r="8" spans="1:12" ht="13.5" customHeight="1">
      <c r="A8" s="196" t="s">
        <v>73</v>
      </c>
      <c r="B8" s="19">
        <v>160316.92000000001</v>
      </c>
      <c r="C8" s="19">
        <v>194233.86</v>
      </c>
      <c r="D8" s="19">
        <v>206242.94</v>
      </c>
      <c r="E8" s="19">
        <v>230775.54</v>
      </c>
      <c r="F8" s="19">
        <v>213884.17</v>
      </c>
      <c r="G8" s="19">
        <v>197071.7</v>
      </c>
      <c r="H8" s="19">
        <v>244926.29</v>
      </c>
      <c r="I8" s="19">
        <v>272729.46999999997</v>
      </c>
      <c r="J8" s="325">
        <v>313366.84000000003</v>
      </c>
      <c r="K8" s="325">
        <v>327661.92</v>
      </c>
      <c r="L8" s="325">
        <v>383202.14</v>
      </c>
    </row>
    <row r="9" spans="1:12" ht="13.5" customHeight="1">
      <c r="A9" s="196" t="s">
        <v>74</v>
      </c>
      <c r="B9" s="19">
        <v>128896.55</v>
      </c>
      <c r="C9" s="19">
        <v>144800.06</v>
      </c>
      <c r="D9" s="19">
        <v>150885.81</v>
      </c>
      <c r="E9" s="19">
        <v>183367.86</v>
      </c>
      <c r="F9" s="19">
        <v>169829.02</v>
      </c>
      <c r="G9" s="19">
        <v>213686.7</v>
      </c>
      <c r="H9" s="19">
        <v>278171.34999999998</v>
      </c>
      <c r="I9" s="19">
        <v>277710.3</v>
      </c>
      <c r="J9" s="325">
        <v>332121.96000000002</v>
      </c>
      <c r="K9" s="325">
        <v>333066.78999999998</v>
      </c>
      <c r="L9" s="325">
        <v>388501.91</v>
      </c>
    </row>
    <row r="10" spans="1:12" ht="13.5" customHeight="1">
      <c r="A10" s="321" t="s">
        <v>75</v>
      </c>
      <c r="B10" s="326">
        <v>209374.01</v>
      </c>
      <c r="C10" s="326">
        <v>249382.05</v>
      </c>
      <c r="D10" s="326">
        <v>274126.46999999997</v>
      </c>
      <c r="E10" s="326">
        <v>292413.82</v>
      </c>
      <c r="F10" s="326">
        <v>290104.09000000003</v>
      </c>
      <c r="G10" s="326">
        <v>348854.99</v>
      </c>
      <c r="H10" s="326">
        <v>364660.26</v>
      </c>
      <c r="I10" s="326">
        <v>375726.47</v>
      </c>
      <c r="J10" s="322">
        <v>324584.82</v>
      </c>
      <c r="K10" s="322">
        <v>348456.27</v>
      </c>
      <c r="L10" s="322">
        <v>397543.67</v>
      </c>
    </row>
    <row r="11" spans="1:12" ht="13.5" customHeight="1">
      <c r="A11" s="196" t="s">
        <v>76</v>
      </c>
      <c r="B11" s="19">
        <v>14480.78</v>
      </c>
      <c r="C11" s="19">
        <v>11190.88</v>
      </c>
      <c r="D11" s="19">
        <v>28928.42</v>
      </c>
      <c r="E11" s="19">
        <v>13258.7</v>
      </c>
      <c r="F11" s="19">
        <v>13758.24</v>
      </c>
      <c r="G11" s="19">
        <v>15741.72</v>
      </c>
      <c r="H11" s="19">
        <v>16935.34</v>
      </c>
      <c r="I11" s="19">
        <v>18065.669999999998</v>
      </c>
      <c r="J11" s="46">
        <v>20409.669999999998</v>
      </c>
      <c r="K11" s="46">
        <v>14741.15</v>
      </c>
      <c r="L11" s="46">
        <v>14767.84</v>
      </c>
    </row>
    <row r="12" spans="1:12" ht="13.5" customHeight="1">
      <c r="A12" s="196" t="s">
        <v>77</v>
      </c>
      <c r="B12" s="324">
        <v>140212.41</v>
      </c>
      <c r="C12" s="324">
        <v>165474.07999999999</v>
      </c>
      <c r="D12" s="324">
        <v>167753.13</v>
      </c>
      <c r="E12" s="324">
        <v>196608.9</v>
      </c>
      <c r="F12" s="324">
        <v>198031.61</v>
      </c>
      <c r="G12" s="324">
        <v>219085.01</v>
      </c>
      <c r="H12" s="324">
        <v>254346.37</v>
      </c>
      <c r="I12" s="324">
        <v>266053.82</v>
      </c>
      <c r="J12" s="325">
        <v>277517.09000000003</v>
      </c>
      <c r="K12" s="325">
        <v>292578.09000000003</v>
      </c>
      <c r="L12" s="325">
        <v>335531.40000000002</v>
      </c>
    </row>
    <row r="13" spans="1:12" ht="12.75" customHeight="1">
      <c r="A13" s="327" t="s">
        <v>78</v>
      </c>
      <c r="B13" s="19">
        <v>1539.58</v>
      </c>
      <c r="C13" s="19">
        <v>1383.67</v>
      </c>
      <c r="D13" s="19">
        <v>1580.25</v>
      </c>
      <c r="E13" s="19">
        <v>2222.19</v>
      </c>
      <c r="F13" s="19">
        <v>1811.97</v>
      </c>
      <c r="G13" s="19">
        <v>2432.6</v>
      </c>
      <c r="H13" s="19">
        <v>2244.52</v>
      </c>
      <c r="I13" s="19">
        <v>2012</v>
      </c>
      <c r="J13" s="46">
        <v>2322.19</v>
      </c>
      <c r="K13" s="46">
        <v>4316.88</v>
      </c>
      <c r="L13" s="46">
        <v>6550.37</v>
      </c>
    </row>
    <row r="14" spans="1:12" ht="13.5" customHeight="1">
      <c r="A14" s="196" t="s">
        <v>79</v>
      </c>
      <c r="B14" s="19">
        <v>53141.24</v>
      </c>
      <c r="C14" s="19">
        <v>71333.42</v>
      </c>
      <c r="D14" s="19">
        <v>75864.67</v>
      </c>
      <c r="E14" s="19">
        <v>80324.03</v>
      </c>
      <c r="F14" s="19">
        <v>76502.27</v>
      </c>
      <c r="G14" s="19">
        <v>111595.66</v>
      </c>
      <c r="H14" s="19">
        <v>91134.03</v>
      </c>
      <c r="I14" s="19">
        <v>89594.98</v>
      </c>
      <c r="J14" s="46">
        <v>24335.86</v>
      </c>
      <c r="K14" s="46">
        <v>36820.160000000003</v>
      </c>
      <c r="L14" s="46">
        <v>40694.06</v>
      </c>
    </row>
    <row r="15" spans="1:12" ht="13.5" customHeight="1">
      <c r="A15" s="321" t="s">
        <v>80</v>
      </c>
      <c r="B15" s="326">
        <v>121880.73</v>
      </c>
      <c r="C15" s="326">
        <v>131829.98000000001</v>
      </c>
      <c r="D15" s="326">
        <v>138285.54999999999</v>
      </c>
      <c r="E15" s="326">
        <v>152374.87</v>
      </c>
      <c r="F15" s="326">
        <v>151274.15</v>
      </c>
      <c r="G15" s="326">
        <v>176621.78</v>
      </c>
      <c r="H15" s="326">
        <v>204978.28</v>
      </c>
      <c r="I15" s="326">
        <v>186088.8</v>
      </c>
      <c r="J15" s="322">
        <v>213867.68</v>
      </c>
      <c r="K15" s="322">
        <v>206132.34</v>
      </c>
      <c r="L15" s="322">
        <v>215852.73</v>
      </c>
    </row>
    <row r="16" spans="1:12" ht="13.5" customHeight="1">
      <c r="A16" s="196" t="s">
        <v>81</v>
      </c>
      <c r="B16" s="19">
        <v>79637.850000000006</v>
      </c>
      <c r="C16" s="19">
        <v>89943.34</v>
      </c>
      <c r="D16" s="19">
        <v>93685.38</v>
      </c>
      <c r="E16" s="19">
        <v>106874.93</v>
      </c>
      <c r="F16" s="19">
        <v>98022.24</v>
      </c>
      <c r="G16" s="19">
        <v>108375.17</v>
      </c>
      <c r="H16" s="19">
        <v>118280.17</v>
      </c>
      <c r="I16" s="19">
        <v>130122.58</v>
      </c>
      <c r="J16" s="46">
        <v>133929.13</v>
      </c>
      <c r="K16" s="46">
        <v>157107.07</v>
      </c>
      <c r="L16" s="46">
        <v>162851.42000000001</v>
      </c>
    </row>
    <row r="17" spans="1:12" ht="13.5" customHeight="1">
      <c r="A17" s="196" t="s">
        <v>82</v>
      </c>
      <c r="B17" s="324">
        <v>42242.87</v>
      </c>
      <c r="C17" s="324">
        <v>41886.639999999999</v>
      </c>
      <c r="D17" s="324">
        <v>44600.17</v>
      </c>
      <c r="E17" s="324">
        <v>45499.94</v>
      </c>
      <c r="F17" s="324">
        <v>53251.91</v>
      </c>
      <c r="G17" s="324">
        <v>68246.62</v>
      </c>
      <c r="H17" s="324">
        <v>86698.1</v>
      </c>
      <c r="I17" s="324">
        <v>55966.22</v>
      </c>
      <c r="J17" s="325">
        <v>79938.55</v>
      </c>
      <c r="K17" s="325">
        <v>49025.27</v>
      </c>
      <c r="L17" s="325">
        <v>53001.31</v>
      </c>
    </row>
    <row r="18" spans="1:12" ht="13.5" customHeight="1">
      <c r="A18" s="321" t="s">
        <v>83</v>
      </c>
      <c r="B18" s="326">
        <v>1181229.8400000001</v>
      </c>
      <c r="C18" s="326">
        <v>1345296.32</v>
      </c>
      <c r="D18" s="326">
        <v>1410086.94</v>
      </c>
      <c r="E18" s="326">
        <v>1544262.05</v>
      </c>
      <c r="F18" s="326">
        <v>1532027.76</v>
      </c>
      <c r="G18" s="326">
        <v>1630287.69</v>
      </c>
      <c r="H18" s="326">
        <v>1969443.39</v>
      </c>
      <c r="I18" s="326">
        <v>2053830.79</v>
      </c>
      <c r="J18" s="322">
        <v>2280858.29</v>
      </c>
      <c r="K18" s="322">
        <v>2314586.31</v>
      </c>
      <c r="L18" s="322">
        <v>2675017.6</v>
      </c>
    </row>
    <row r="19" spans="1:12" ht="13.5" customHeight="1">
      <c r="A19" s="196" t="s">
        <v>84</v>
      </c>
      <c r="B19" s="19">
        <v>459.42</v>
      </c>
      <c r="C19" s="19">
        <v>746.86</v>
      </c>
      <c r="D19" s="19">
        <v>510.96</v>
      </c>
      <c r="E19" s="19">
        <v>475.37</v>
      </c>
      <c r="F19" s="19">
        <v>314.8</v>
      </c>
      <c r="G19" s="19">
        <v>336.36</v>
      </c>
      <c r="H19" s="19">
        <v>588.58000000000004</v>
      </c>
      <c r="I19" s="19">
        <v>341.31</v>
      </c>
      <c r="J19" s="46">
        <v>304.02</v>
      </c>
      <c r="K19" s="46">
        <v>224.53</v>
      </c>
      <c r="L19" s="46">
        <v>336.97</v>
      </c>
    </row>
    <row r="20" spans="1:12" ht="13.5" customHeight="1">
      <c r="A20" s="196" t="s">
        <v>85</v>
      </c>
      <c r="B20" s="19">
        <v>22808.14</v>
      </c>
      <c r="C20" s="19">
        <v>32497.01</v>
      </c>
      <c r="D20" s="19">
        <v>26833.34</v>
      </c>
      <c r="E20" s="19">
        <v>29718.58</v>
      </c>
      <c r="F20" s="19">
        <v>118541.89</v>
      </c>
      <c r="G20" s="19">
        <v>50520.57</v>
      </c>
      <c r="H20" s="19">
        <v>46316.43</v>
      </c>
      <c r="I20" s="19">
        <v>42278.559999999998</v>
      </c>
      <c r="J20" s="46">
        <v>82432.02</v>
      </c>
      <c r="K20" s="46">
        <v>82468.94</v>
      </c>
      <c r="L20" s="46">
        <v>92047.62</v>
      </c>
    </row>
    <row r="21" spans="1:12" ht="13.5" customHeight="1">
      <c r="A21" s="196" t="s">
        <v>86</v>
      </c>
      <c r="B21" s="19">
        <v>14859.71</v>
      </c>
      <c r="C21" s="19">
        <v>15470.12</v>
      </c>
      <c r="D21" s="19">
        <v>16094.97</v>
      </c>
      <c r="E21" s="19">
        <v>24036.83</v>
      </c>
      <c r="F21" s="19">
        <v>18027.2</v>
      </c>
      <c r="G21" s="19">
        <v>16749.39</v>
      </c>
      <c r="H21" s="19">
        <v>24974.35</v>
      </c>
      <c r="I21" s="19">
        <v>28709.61</v>
      </c>
      <c r="J21" s="46">
        <v>26471.35</v>
      </c>
      <c r="K21" s="46">
        <v>23323.54</v>
      </c>
      <c r="L21" s="46">
        <v>24419.83</v>
      </c>
    </row>
    <row r="22" spans="1:12" ht="13.5" customHeight="1">
      <c r="A22" s="196" t="s">
        <v>87</v>
      </c>
      <c r="B22" s="19">
        <v>1470.15</v>
      </c>
      <c r="C22" s="19">
        <v>1930.44</v>
      </c>
      <c r="D22" s="19">
        <v>2078.7399999999998</v>
      </c>
      <c r="E22" s="19">
        <v>2601.59</v>
      </c>
      <c r="F22" s="19">
        <v>2206.65</v>
      </c>
      <c r="G22" s="19">
        <v>2271.13</v>
      </c>
      <c r="H22" s="19">
        <v>2885.67</v>
      </c>
      <c r="I22" s="19">
        <v>2625.31</v>
      </c>
      <c r="J22" s="46">
        <v>3185.22</v>
      </c>
      <c r="K22" s="46">
        <v>2828.94</v>
      </c>
      <c r="L22" s="46">
        <v>3333.11</v>
      </c>
    </row>
    <row r="23" spans="1:12" ht="13.5" customHeight="1">
      <c r="A23" s="196" t="s">
        <v>88</v>
      </c>
      <c r="B23" s="19">
        <v>32044.38</v>
      </c>
      <c r="C23" s="19">
        <v>42728.72</v>
      </c>
      <c r="D23" s="19">
        <v>60754.12</v>
      </c>
      <c r="E23" s="19">
        <v>11336.98</v>
      </c>
      <c r="F23" s="19">
        <v>20282.310000000001</v>
      </c>
      <c r="G23" s="19">
        <v>15642.02</v>
      </c>
      <c r="H23" s="19">
        <v>30279.43</v>
      </c>
      <c r="I23" s="19">
        <v>21445.58</v>
      </c>
      <c r="J23" s="46">
        <v>38319.68</v>
      </c>
      <c r="K23" s="46">
        <v>464605.01</v>
      </c>
      <c r="L23" s="46">
        <v>538470.77</v>
      </c>
    </row>
    <row r="24" spans="1:12" ht="13.5" customHeight="1">
      <c r="A24" s="196" t="s">
        <v>89</v>
      </c>
      <c r="B24" s="19">
        <v>1918.81</v>
      </c>
      <c r="C24" s="19">
        <v>901</v>
      </c>
      <c r="D24" s="19">
        <v>5916.61</v>
      </c>
      <c r="E24" s="19">
        <v>91931.14</v>
      </c>
      <c r="F24" s="19">
        <v>106264.74</v>
      </c>
      <c r="G24" s="19">
        <v>87728.62</v>
      </c>
      <c r="H24" s="19">
        <v>125319.91</v>
      </c>
      <c r="I24" s="19">
        <v>150916.95000000001</v>
      </c>
      <c r="J24" s="46">
        <v>271091.08</v>
      </c>
      <c r="K24" s="46">
        <v>5513.7</v>
      </c>
      <c r="L24" s="46">
        <v>2407.1</v>
      </c>
    </row>
    <row r="25" spans="1:12" ht="13.5" customHeight="1">
      <c r="A25" s="321" t="s">
        <v>90</v>
      </c>
      <c r="B25" s="326">
        <v>73560.61</v>
      </c>
      <c r="C25" s="326">
        <v>94274.15</v>
      </c>
      <c r="D25" s="326">
        <v>112188.74</v>
      </c>
      <c r="E25" s="326">
        <v>160100.48000000001</v>
      </c>
      <c r="F25" s="326">
        <v>265637.59999999998</v>
      </c>
      <c r="G25" s="326">
        <v>173248.1</v>
      </c>
      <c r="H25" s="326">
        <v>230364.37</v>
      </c>
      <c r="I25" s="326">
        <v>246317.32</v>
      </c>
      <c r="J25" s="322">
        <v>421803.38</v>
      </c>
      <c r="K25" s="322">
        <v>578964.66</v>
      </c>
      <c r="L25" s="322">
        <v>661015.4</v>
      </c>
    </row>
    <row r="26" spans="1:12" ht="13.5" customHeight="1">
      <c r="A26" s="328" t="s">
        <v>91</v>
      </c>
      <c r="B26" s="171">
        <v>1254790.45</v>
      </c>
      <c r="C26" s="171">
        <v>1439570.48</v>
      </c>
      <c r="D26" s="171">
        <v>1522275.68</v>
      </c>
      <c r="E26" s="171">
        <v>1704362.53</v>
      </c>
      <c r="F26" s="171">
        <v>1797665.36</v>
      </c>
      <c r="G26" s="171">
        <v>1803535.79</v>
      </c>
      <c r="H26" s="171">
        <v>2199807.7599999998</v>
      </c>
      <c r="I26" s="171">
        <v>2300148.11</v>
      </c>
      <c r="J26" s="44">
        <v>2702661.67</v>
      </c>
      <c r="K26" s="44">
        <v>2893550.97</v>
      </c>
      <c r="L26" s="44">
        <v>3336033</v>
      </c>
    </row>
    <row r="27" spans="1:12" s="389" customFormat="1" ht="13.5" customHeight="1">
      <c r="A27" s="394" t="s">
        <v>92</v>
      </c>
      <c r="B27" s="394"/>
      <c r="C27" s="394"/>
      <c r="D27" s="394"/>
      <c r="E27" s="394"/>
      <c r="F27" s="394"/>
      <c r="G27" s="395"/>
      <c r="H27" s="395"/>
      <c r="I27" s="395"/>
      <c r="J27" s="395"/>
    </row>
    <row r="28" spans="1:12" s="390" customFormat="1" ht="13.5" customHeight="1">
      <c r="A28" s="387" t="s">
        <v>29</v>
      </c>
      <c r="B28" s="396"/>
      <c r="C28" s="396"/>
      <c r="D28" s="396"/>
      <c r="E28" s="396"/>
      <c r="F28" s="396"/>
      <c r="G28" s="397"/>
      <c r="H28" s="397"/>
      <c r="I28" s="397"/>
      <c r="J28" s="397"/>
    </row>
    <row r="29" spans="1:12" s="390" customFormat="1" ht="13.5" customHeight="1">
      <c r="A29" s="387" t="s">
        <v>496</v>
      </c>
      <c r="B29" s="387"/>
      <c r="C29" s="387"/>
      <c r="D29" s="387"/>
      <c r="E29" s="387"/>
      <c r="F29" s="387"/>
      <c r="G29" s="398"/>
      <c r="H29" s="398"/>
      <c r="I29" s="398"/>
      <c r="J29" s="398"/>
    </row>
    <row r="30" spans="1:12" s="390" customFormat="1" ht="13.5" customHeight="1">
      <c r="A30" s="387" t="s">
        <v>93</v>
      </c>
    </row>
    <row r="31" spans="1:12" s="390" customFormat="1" ht="13.5" customHeight="1">
      <c r="A31" s="387" t="s">
        <v>94</v>
      </c>
    </row>
    <row r="32" spans="1:12" ht="13.5" customHeight="1"/>
    <row r="33" s="7" customFormat="1" ht="13.5" customHeight="1"/>
    <row r="34" s="7" customFormat="1" ht="13.5" customHeight="1"/>
    <row r="35" s="7" customFormat="1" ht="13.5" customHeight="1"/>
    <row r="36" s="7" customFormat="1" ht="13.5" customHeight="1"/>
    <row r="37" s="7" customFormat="1" ht="13.5" customHeight="1"/>
    <row r="38" s="7" customFormat="1" ht="13.5" customHeight="1"/>
    <row r="39" s="7" customFormat="1" ht="13.5" customHeight="1"/>
    <row r="40" s="7" customFormat="1" ht="13.5" customHeight="1"/>
    <row r="41" s="7" customFormat="1" ht="13.5" customHeight="1"/>
    <row r="42" s="7" customFormat="1" ht="13.5" customHeight="1"/>
    <row r="43" s="7" customFormat="1" ht="13.5" customHeight="1"/>
    <row r="44" s="7" customFormat="1" ht="13.5" customHeight="1"/>
    <row r="45" s="7" customFormat="1" ht="13.5" customHeight="1"/>
    <row r="46" s="7" customFormat="1" ht="13.5" customHeight="1"/>
    <row r="47" s="7" customFormat="1" ht="13.5" customHeight="1"/>
    <row r="48" s="7" customFormat="1" ht="13.5" customHeight="1"/>
    <row r="49" s="7" customFormat="1" ht="13.5" customHeight="1"/>
    <row r="50" s="7" customFormat="1" ht="13.5" customHeight="1"/>
    <row r="51" s="7" customFormat="1" ht="13.5" customHeight="1"/>
    <row r="52" s="7" customFormat="1" ht="13.5" customHeight="1"/>
    <row r="53" s="7" customFormat="1" ht="13.5" customHeight="1"/>
    <row r="54" s="7" customFormat="1" ht="13.5" customHeight="1"/>
    <row r="55" s="7" customFormat="1" ht="13.5" customHeight="1"/>
    <row r="56" s="7" customFormat="1" ht="13.5" customHeight="1"/>
    <row r="57" s="7" customFormat="1" ht="13.5" customHeight="1"/>
    <row r="58" s="7" customFormat="1" ht="13.5" customHeight="1"/>
    <row r="59" s="7" customFormat="1" ht="13.5" customHeight="1"/>
    <row r="60" s="7" customFormat="1" ht="13.5" customHeight="1"/>
    <row r="61" s="7" customFormat="1" ht="13.5" customHeight="1"/>
    <row r="62" s="7" customFormat="1" ht="13.5" customHeight="1"/>
    <row r="63" s="7" customFormat="1" ht="13.5" customHeight="1"/>
    <row r="64" s="7" customFormat="1" ht="13.5" customHeight="1"/>
    <row r="65" s="7" customFormat="1" ht="13.5" customHeight="1"/>
    <row r="66" s="7" customFormat="1" ht="13.5" customHeight="1"/>
    <row r="67" s="7" customFormat="1" ht="13.5" customHeight="1"/>
    <row r="68" s="7" customFormat="1" ht="13.5" customHeight="1"/>
    <row r="69" s="7" customFormat="1" ht="13.5" customHeight="1"/>
    <row r="70" s="7" customFormat="1" ht="13.5" customHeight="1"/>
    <row r="71" s="7" customFormat="1" ht="13.5" customHeight="1"/>
    <row r="72" s="7" customFormat="1" ht="13.5" customHeight="1"/>
    <row r="73" s="7" customFormat="1" ht="13.5" customHeight="1"/>
    <row r="74" s="7" customFormat="1" ht="13.5" customHeight="1"/>
    <row r="75" s="7" customFormat="1" ht="13.5" customHeight="1"/>
    <row r="76" s="7" customFormat="1" ht="13.5" customHeight="1"/>
    <row r="77" s="7" customFormat="1" ht="13.5" customHeight="1"/>
    <row r="78" s="7" customFormat="1" ht="13.5" customHeight="1"/>
    <row r="79" s="7" customFormat="1" ht="13.5" customHeight="1"/>
    <row r="80" s="7" customFormat="1" ht="13.5" customHeight="1"/>
    <row r="81" s="7" customFormat="1" ht="13.5" customHeight="1"/>
    <row r="82" s="7" customFormat="1" ht="13.5" customHeight="1"/>
    <row r="83" s="7" customFormat="1" ht="13.5" customHeight="1"/>
    <row r="84" s="7" customFormat="1" ht="13.5" customHeight="1"/>
    <row r="85" s="7" customFormat="1" ht="13.5" customHeight="1"/>
    <row r="86" s="7" customFormat="1" ht="13.5" customHeight="1"/>
    <row r="87" s="7" customFormat="1" ht="13.5" customHeight="1"/>
    <row r="88" s="7" customFormat="1" ht="13.5" customHeight="1"/>
    <row r="89" s="7" customFormat="1" ht="13.5" customHeight="1"/>
    <row r="90" s="7" customFormat="1" ht="13.5" customHeight="1"/>
    <row r="91" s="7" customFormat="1" ht="13.5" customHeight="1"/>
    <row r="92" s="7" customFormat="1" ht="13.5" customHeight="1"/>
    <row r="93" s="7" customFormat="1" ht="13.5" customHeight="1"/>
    <row r="94" s="7" customFormat="1" ht="13.5" customHeight="1"/>
    <row r="95" s="7" customFormat="1" ht="13.5" customHeight="1"/>
    <row r="96" s="7" customFormat="1" ht="13.5" customHeight="1"/>
    <row r="97" s="7" customFormat="1" ht="13.5" customHeight="1"/>
    <row r="98" s="7" customFormat="1" ht="13.5" customHeight="1"/>
    <row r="99" s="7" customFormat="1" ht="13.5" customHeight="1"/>
    <row r="100" s="7" customFormat="1" ht="13.5" customHeight="1"/>
    <row r="101" s="7" customFormat="1" ht="13.5" customHeight="1"/>
    <row r="102" s="7" customFormat="1" ht="13.5" customHeight="1"/>
    <row r="103" s="7" customFormat="1" ht="13.5" customHeight="1"/>
    <row r="104" s="7" customFormat="1" ht="13.5" customHeight="1"/>
    <row r="105" s="7" customFormat="1" ht="13.5" customHeight="1"/>
    <row r="106" s="7" customFormat="1" ht="13.5" customHeight="1"/>
    <row r="107" s="7" customFormat="1" ht="13.5" customHeight="1"/>
    <row r="108" s="7" customFormat="1" ht="13.5" customHeight="1"/>
    <row r="109" s="7" customFormat="1" ht="13.5" customHeight="1"/>
    <row r="110" s="7" customFormat="1" ht="13.5" customHeight="1"/>
    <row r="111" s="7" customFormat="1" ht="13.5" customHeight="1"/>
    <row r="112" s="7" customFormat="1" ht="13.5" customHeight="1"/>
    <row r="113" s="7" customFormat="1" ht="13.5" customHeight="1"/>
    <row r="114" s="7" customFormat="1" ht="13.5" customHeight="1"/>
    <row r="115" s="7" customFormat="1" ht="13.5" customHeight="1"/>
    <row r="116" s="7" customFormat="1" ht="13.5" customHeight="1"/>
    <row r="117" s="7" customFormat="1" ht="13.5" customHeight="1"/>
    <row r="118" s="7" customFormat="1" ht="13.5" customHeight="1"/>
    <row r="119" s="7" customFormat="1" ht="13.5" customHeight="1"/>
    <row r="120" s="7" customFormat="1" ht="13.5" customHeight="1"/>
    <row r="121" s="7" customFormat="1" ht="13.5" customHeight="1"/>
    <row r="122" s="7" customFormat="1" ht="13.5" customHeight="1"/>
    <row r="123" s="7" customFormat="1" ht="13.5" customHeight="1"/>
    <row r="124" s="7" customFormat="1" ht="13.5" customHeight="1"/>
    <row r="125" s="7" customFormat="1" ht="13.5" customHeight="1"/>
    <row r="126" s="7" customFormat="1" ht="13.5" customHeight="1"/>
    <row r="127" s="7" customFormat="1" ht="13.5" customHeight="1"/>
    <row r="128" s="7" customFormat="1" ht="13.5" customHeight="1"/>
    <row r="129" s="7" customFormat="1" ht="13.5" customHeight="1"/>
    <row r="130" s="7" customFormat="1" ht="13.5" customHeight="1"/>
    <row r="131" s="7" customFormat="1" ht="13.5" customHeight="1"/>
    <row r="132" s="7" customFormat="1" ht="13.5" customHeight="1"/>
    <row r="133" s="7" customFormat="1" ht="13.5" customHeight="1"/>
    <row r="134" s="7" customFormat="1" ht="13.5" customHeight="1"/>
    <row r="135" s="7" customFormat="1" ht="13.5" customHeight="1"/>
    <row r="136" s="7" customFormat="1" ht="13.5" customHeight="1"/>
    <row r="137" s="7" customFormat="1" ht="13.5" customHeight="1"/>
    <row r="138" s="7" customFormat="1" ht="13.5" customHeight="1"/>
    <row r="139" s="7" customFormat="1" ht="13.5" customHeight="1"/>
    <row r="140" s="7" customFormat="1" ht="13.5" customHeight="1"/>
    <row r="141" s="7" customFormat="1" ht="13.5" customHeight="1"/>
    <row r="142" s="7" customFormat="1" ht="13.5" customHeight="1"/>
    <row r="143" s="7" customFormat="1" ht="13.5" customHeight="1"/>
    <row r="144" s="7" customFormat="1" ht="13.5" customHeight="1"/>
    <row r="145" s="7" customFormat="1" ht="13.5" customHeight="1"/>
    <row r="146" s="7" customFormat="1" ht="13.5" customHeight="1"/>
    <row r="147" s="7" customFormat="1" ht="13.5" customHeight="1"/>
    <row r="148" s="7" customFormat="1" ht="13.5" customHeight="1"/>
    <row r="149" s="7" customFormat="1" ht="13.5" customHeight="1"/>
    <row r="150" s="7" customFormat="1" ht="13.5" customHeight="1"/>
    <row r="151" s="7" customFormat="1" ht="13.5" customHeight="1"/>
    <row r="152" s="7" customFormat="1" ht="13.5" customHeight="1"/>
    <row r="153" s="7" customFormat="1" ht="13.5" customHeight="1"/>
    <row r="154" s="7" customFormat="1" ht="13.5" customHeight="1"/>
    <row r="155" s="7" customFormat="1" ht="13.5" customHeight="1"/>
    <row r="156" s="7" customFormat="1" ht="13.5" customHeight="1"/>
    <row r="157" s="7" customFormat="1" ht="13.5" customHeight="1"/>
    <row r="158" s="7" customFormat="1" ht="13.5" customHeight="1"/>
    <row r="159" s="7" customFormat="1" ht="13.5" customHeight="1"/>
    <row r="160" s="7" customFormat="1" ht="13.5" customHeight="1"/>
    <row r="161" s="7" customFormat="1" ht="13.5" customHeight="1"/>
    <row r="162" s="7" customFormat="1" ht="13.5" customHeight="1"/>
    <row r="163" s="7" customFormat="1" ht="13.5" customHeight="1"/>
    <row r="164" s="7" customFormat="1" ht="13.5" customHeight="1"/>
    <row r="165" s="7" customFormat="1" ht="13.5" customHeight="1"/>
    <row r="166" s="7" customFormat="1" ht="13.5" customHeight="1"/>
    <row r="167" s="7" customFormat="1" ht="13.5" customHeight="1"/>
    <row r="168" s="7" customFormat="1" ht="13.5" customHeight="1"/>
    <row r="169" s="7" customFormat="1" ht="13.5" customHeight="1"/>
    <row r="170" s="7" customFormat="1" ht="13.5" customHeight="1"/>
    <row r="171" s="7" customFormat="1" ht="13.5" customHeight="1"/>
    <row r="172" s="7" customFormat="1" ht="13.5" customHeight="1"/>
    <row r="173" s="7" customFormat="1" ht="13.5" customHeight="1"/>
    <row r="174" s="7" customFormat="1" ht="13.5" customHeight="1"/>
    <row r="175" s="7" customFormat="1" ht="13.5" customHeight="1"/>
    <row r="176" s="7" customFormat="1" ht="13.5" customHeight="1"/>
    <row r="177" s="7" customFormat="1" ht="13.5" customHeight="1"/>
    <row r="178" s="7" customFormat="1" ht="13.5" customHeight="1"/>
    <row r="179" s="7" customFormat="1" ht="13.5" customHeight="1"/>
    <row r="180" s="7" customFormat="1" ht="13.5" customHeight="1"/>
    <row r="181" s="7" customFormat="1" ht="13.5" customHeight="1"/>
    <row r="182" s="7" customFormat="1" ht="13.5" customHeight="1"/>
    <row r="183" s="7" customFormat="1" ht="13.5" customHeight="1"/>
    <row r="184" s="7" customFormat="1" ht="13.5" customHeight="1"/>
    <row r="185" s="7" customFormat="1" ht="13.5" customHeight="1"/>
    <row r="186" s="7" customFormat="1" ht="13.5" customHeight="1"/>
    <row r="187" s="7" customFormat="1" ht="13.5" customHeight="1"/>
    <row r="188" s="7" customFormat="1" ht="13.5" customHeight="1"/>
    <row r="189" s="7" customFormat="1" ht="13.5" customHeight="1"/>
    <row r="190" s="7" customFormat="1" ht="13.5" customHeight="1"/>
    <row r="191" s="7" customFormat="1" ht="13.5" customHeight="1"/>
    <row r="192" s="7" customFormat="1" ht="13.5" customHeight="1"/>
    <row r="193" s="7" customFormat="1" ht="13.5" customHeight="1"/>
    <row r="194" s="7" customFormat="1" ht="13.5" customHeight="1"/>
    <row r="195" s="7" customFormat="1" ht="13.5" customHeight="1"/>
    <row r="196" s="7" customFormat="1" ht="13.5" customHeight="1"/>
    <row r="197" s="7" customFormat="1" ht="13.5" customHeight="1"/>
    <row r="198" s="7" customFormat="1" ht="13.5" customHeight="1"/>
    <row r="199" s="7" customFormat="1" ht="13.5" customHeight="1"/>
    <row r="200" s="7" customFormat="1" ht="13.5" customHeight="1"/>
    <row r="201" s="7" customFormat="1" ht="13.5" customHeight="1"/>
    <row r="202" s="7" customFormat="1" ht="13.5" customHeight="1"/>
    <row r="203" s="7" customFormat="1" ht="13.5" customHeight="1"/>
    <row r="204" s="7" customFormat="1" ht="13.5" customHeight="1"/>
    <row r="205" s="7" customFormat="1" ht="13.5" customHeight="1"/>
    <row r="206" s="7" customFormat="1" ht="13.5" customHeight="1"/>
    <row r="207" s="7" customFormat="1" ht="13.5" customHeight="1"/>
    <row r="208" s="7" customFormat="1" ht="13.5" customHeight="1"/>
    <row r="209" s="7" customFormat="1" ht="13.5" customHeight="1"/>
    <row r="210" s="7" customFormat="1" ht="13.5" customHeight="1"/>
    <row r="211" s="7" customFormat="1" ht="13.5" customHeight="1"/>
    <row r="212" s="7" customFormat="1" ht="13.5" customHeight="1"/>
    <row r="213" s="7" customFormat="1" ht="13.5" customHeight="1"/>
    <row r="214" s="7" customFormat="1" ht="13.5" customHeight="1"/>
    <row r="215" s="7" customFormat="1" ht="13.5" customHeight="1"/>
    <row r="216" s="7" customFormat="1" ht="13.5" customHeight="1"/>
    <row r="217" s="7" customFormat="1" ht="13.5" customHeight="1"/>
    <row r="218" s="7" customFormat="1" ht="13.5" customHeight="1"/>
    <row r="219" s="7" customFormat="1" ht="13.5" customHeight="1"/>
    <row r="220" s="7" customFormat="1" ht="13.5" customHeight="1"/>
    <row r="221" s="7" customFormat="1" ht="13.5" customHeight="1"/>
    <row r="222" s="7" customFormat="1" ht="13.5" customHeight="1"/>
    <row r="223" s="7" customFormat="1" ht="13.5" customHeight="1"/>
    <row r="224" s="7" customFormat="1" ht="13.5" customHeight="1"/>
    <row r="225" s="7" customFormat="1" ht="13.5" customHeight="1"/>
    <row r="226" s="7" customFormat="1" ht="13.5" customHeight="1"/>
    <row r="227" s="7" customFormat="1" ht="13.5" customHeight="1"/>
    <row r="228" s="7" customFormat="1" ht="13.5" customHeight="1"/>
    <row r="229" s="7" customFormat="1" ht="13.5" customHeight="1"/>
    <row r="230" s="7" customFormat="1" ht="13.5" customHeight="1"/>
    <row r="231" s="7" customFormat="1" ht="13.5" customHeight="1"/>
    <row r="232" s="7" customFormat="1" ht="13.5" customHeight="1"/>
    <row r="233" s="7" customFormat="1" ht="13.5" customHeight="1"/>
    <row r="234" s="7" customFormat="1" ht="13.5" customHeight="1"/>
    <row r="235" s="7" customFormat="1" ht="13.5" customHeight="1"/>
    <row r="236" s="7" customFormat="1" ht="13.5" customHeight="1"/>
    <row r="237" s="7" customFormat="1" ht="13.5" customHeight="1"/>
    <row r="238" s="7" customFormat="1" ht="13.5" customHeight="1"/>
    <row r="239" s="7" customFormat="1" ht="13.5" customHeight="1"/>
    <row r="240" s="7" customFormat="1" ht="13.5" customHeight="1"/>
    <row r="241" s="7" customFormat="1" ht="13.5" customHeight="1"/>
    <row r="242" s="7" customFormat="1" ht="13.5" customHeight="1"/>
    <row r="243" s="7" customFormat="1" ht="13.5" customHeight="1"/>
    <row r="244" s="7" customFormat="1" ht="13.5" customHeight="1"/>
    <row r="245" s="7" customFormat="1" ht="13.5" customHeight="1"/>
    <row r="246" s="7" customFormat="1" ht="13.5" customHeight="1"/>
    <row r="247" s="7" customFormat="1" ht="13.5" customHeight="1"/>
    <row r="248" s="7" customFormat="1" ht="13.5" customHeight="1"/>
    <row r="249" s="7" customFormat="1" ht="13.5" customHeight="1"/>
    <row r="250" s="7" customFormat="1" ht="13.5" customHeight="1"/>
    <row r="251" s="7" customFormat="1" ht="13.5" customHeight="1"/>
    <row r="252" s="7" customFormat="1" ht="13.5" customHeight="1"/>
    <row r="253" s="7" customFormat="1" ht="13.5" customHeight="1"/>
    <row r="254" s="7" customFormat="1" ht="13.5" customHeight="1"/>
    <row r="255" s="7" customFormat="1" ht="13.5" customHeight="1"/>
    <row r="256" s="7" customFormat="1" ht="13.5" customHeight="1"/>
    <row r="257" s="7" customFormat="1" ht="13.5" customHeight="1"/>
    <row r="258" s="7" customFormat="1" ht="13.5" customHeight="1"/>
    <row r="259" s="7" customFormat="1" ht="13.5" customHeight="1"/>
    <row r="260" s="7" customFormat="1" ht="13.5" customHeight="1"/>
    <row r="261" s="7" customFormat="1" ht="13.5" customHeight="1"/>
    <row r="262" s="7" customFormat="1" ht="13.5" customHeight="1"/>
    <row r="263" s="7" customFormat="1" ht="13.5" customHeight="1"/>
    <row r="264" s="7" customFormat="1" ht="13.5" customHeight="1"/>
    <row r="265" s="7" customFormat="1" ht="13.5" customHeight="1"/>
    <row r="266" s="7" customFormat="1" ht="13.5" customHeight="1"/>
    <row r="267" s="7" customFormat="1" ht="13.5" customHeight="1"/>
    <row r="268" s="7" customFormat="1" ht="13.5" customHeight="1"/>
    <row r="269" s="7" customFormat="1" ht="13.5" customHeight="1"/>
    <row r="270" s="7" customFormat="1" ht="13.5" customHeight="1"/>
    <row r="271" s="7" customFormat="1" ht="13.5" customHeight="1"/>
    <row r="272" s="7" customFormat="1" ht="13.5" customHeight="1"/>
    <row r="273" s="7" customFormat="1" ht="13.5" customHeight="1"/>
    <row r="274" s="7" customFormat="1" ht="13.5" customHeight="1"/>
    <row r="275" s="7" customFormat="1" ht="13.5" customHeight="1"/>
    <row r="276" s="7" customFormat="1" ht="13.5" customHeight="1"/>
    <row r="277" s="7" customFormat="1" ht="13.5" customHeight="1"/>
    <row r="278" s="7" customFormat="1" ht="13.5" customHeight="1"/>
    <row r="279" s="7" customFormat="1" ht="13.5" customHeight="1"/>
    <row r="280" s="7" customFormat="1" ht="13.5" customHeight="1"/>
    <row r="281" s="7" customFormat="1" ht="13.5" customHeight="1"/>
    <row r="282" s="7" customFormat="1" ht="13.5" customHeight="1"/>
    <row r="283" s="7" customFormat="1" ht="13.5" customHeight="1"/>
    <row r="284" s="7" customFormat="1" ht="13.5" customHeight="1"/>
    <row r="285" s="7" customFormat="1" ht="13.5" customHeight="1"/>
    <row r="286" s="7" customFormat="1" ht="13.5" customHeight="1"/>
    <row r="287" s="7" customFormat="1" ht="13.5" customHeight="1"/>
    <row r="288" s="7" customFormat="1" ht="13.5" customHeight="1"/>
    <row r="289" s="7" customFormat="1" ht="13.5" customHeight="1"/>
    <row r="290" s="7" customFormat="1" ht="13.5" customHeight="1"/>
    <row r="291" s="7" customFormat="1" ht="13.5" customHeight="1"/>
    <row r="292" s="7" customFormat="1" ht="13.5" customHeight="1"/>
    <row r="293" s="7" customFormat="1" ht="13.5" customHeight="1"/>
    <row r="294" s="7" customFormat="1" ht="13.5" customHeight="1"/>
    <row r="295" s="7" customFormat="1" ht="13.5" customHeight="1"/>
    <row r="296" s="7" customFormat="1" ht="13.5" customHeight="1"/>
    <row r="297" s="7" customFormat="1" ht="13.5" customHeight="1"/>
    <row r="298" s="7" customFormat="1" ht="13.5" customHeight="1"/>
    <row r="299" s="7" customFormat="1" ht="13.5" customHeight="1"/>
    <row r="300" s="7" customFormat="1" ht="13.5" customHeight="1"/>
    <row r="301" s="7" customFormat="1" ht="13.5" customHeight="1"/>
    <row r="302" s="7" customFormat="1" ht="13.5" customHeight="1"/>
    <row r="303" s="7" customFormat="1" ht="13.5" customHeight="1"/>
    <row r="304" s="7" customFormat="1" ht="13.5" customHeight="1"/>
    <row r="305" s="7" customFormat="1" ht="13.5" customHeight="1"/>
    <row r="306" s="7" customFormat="1" ht="13.5" customHeight="1"/>
    <row r="307" s="7" customFormat="1" ht="13.5" customHeight="1"/>
    <row r="308" s="7" customFormat="1" ht="13.5" customHeight="1"/>
    <row r="309" s="7" customFormat="1" ht="13.5" customHeight="1"/>
    <row r="310" s="7" customFormat="1" ht="13.5" customHeight="1"/>
    <row r="311" s="7" customFormat="1" ht="13.5" customHeight="1"/>
    <row r="312" s="7" customFormat="1" ht="13.5" customHeight="1"/>
    <row r="313" s="7" customFormat="1" ht="13.5" customHeight="1"/>
    <row r="314" s="7" customFormat="1" ht="13.5" customHeight="1"/>
    <row r="315" s="7" customFormat="1" ht="13.5" customHeight="1"/>
    <row r="316" s="7" customFormat="1" ht="13.5" customHeight="1"/>
    <row r="317" s="7" customFormat="1" ht="13.5" customHeight="1"/>
    <row r="318" s="7" customFormat="1" ht="13.5" customHeight="1"/>
    <row r="319" s="7" customFormat="1" ht="13.5" customHeight="1"/>
    <row r="320" s="7" customFormat="1" ht="13.5" customHeight="1"/>
    <row r="321" s="7" customFormat="1" ht="13.5" customHeight="1"/>
    <row r="322" s="7" customFormat="1" ht="13.5" customHeight="1"/>
    <row r="323" s="7" customFormat="1" ht="13.5" customHeight="1"/>
    <row r="324" s="7" customFormat="1" ht="13.5" customHeight="1"/>
    <row r="325" s="7" customFormat="1" ht="13.5" customHeight="1"/>
    <row r="326" s="7" customFormat="1" ht="13.5" customHeight="1"/>
    <row r="327" s="7" customFormat="1" ht="13.5" customHeight="1"/>
    <row r="328" s="7" customFormat="1" ht="13.5" customHeight="1"/>
    <row r="329" s="7" customFormat="1" ht="13.5" customHeight="1"/>
    <row r="330" s="7" customFormat="1" ht="13.5" customHeight="1"/>
    <row r="331" s="7" customFormat="1" ht="13.5" customHeight="1"/>
    <row r="332" s="7" customFormat="1" ht="13.5" customHeight="1"/>
    <row r="333" s="7" customFormat="1" ht="13.5" customHeight="1"/>
    <row r="334" s="7" customFormat="1" ht="13.5" customHeight="1"/>
    <row r="335" s="7" customFormat="1" ht="13.5" customHeight="1"/>
    <row r="336" s="7" customFormat="1" ht="13.5" customHeight="1"/>
    <row r="337" s="7" customFormat="1" ht="13.5" customHeight="1"/>
    <row r="338" s="7" customFormat="1" ht="13.5" customHeight="1"/>
    <row r="339" s="7" customFormat="1" ht="13.5" customHeight="1"/>
    <row r="340" s="7" customFormat="1" ht="13.5" customHeight="1"/>
    <row r="341" s="7" customFormat="1" ht="13.5" customHeight="1"/>
    <row r="342" s="7" customFormat="1" ht="13.5" customHeight="1"/>
    <row r="343" s="7" customFormat="1" ht="13.5" customHeight="1"/>
    <row r="344" s="7" customFormat="1" ht="13.5" customHeight="1"/>
    <row r="345" s="7" customFormat="1" ht="13.5" customHeight="1"/>
    <row r="346" s="7" customFormat="1" ht="13.5" customHeight="1"/>
    <row r="347" s="7" customFormat="1" ht="13.5" customHeight="1"/>
    <row r="348" s="7" customFormat="1" ht="13.5" customHeight="1"/>
    <row r="349" s="7" customFormat="1" ht="13.5" customHeight="1"/>
    <row r="350" s="7" customFormat="1" ht="13.5" customHeight="1"/>
    <row r="351" s="7" customFormat="1" ht="13.5" customHeight="1"/>
    <row r="352" s="7" customFormat="1" ht="13.5" customHeight="1"/>
    <row r="353" s="7" customFormat="1" ht="13.5" customHeight="1"/>
    <row r="354" s="7" customFormat="1" ht="13.5" customHeight="1"/>
    <row r="355" s="7" customFormat="1" ht="13.5" customHeight="1"/>
    <row r="356" s="7" customFormat="1" ht="13.5" customHeight="1"/>
    <row r="357" s="7" customFormat="1" ht="13.5" customHeight="1"/>
    <row r="358" s="7" customFormat="1" ht="13.5" customHeight="1"/>
    <row r="359" s="7" customFormat="1" ht="13.5" customHeight="1"/>
    <row r="360" s="7" customFormat="1" ht="13.5" customHeight="1"/>
    <row r="361" s="7" customFormat="1" ht="13.5" customHeight="1"/>
    <row r="362" s="7" customFormat="1" ht="13.5" customHeight="1"/>
    <row r="363" s="7" customFormat="1" ht="13.5" customHeight="1"/>
    <row r="364" s="7" customFormat="1" ht="13.5" customHeight="1"/>
    <row r="365" s="7" customFormat="1" ht="13.5" customHeight="1"/>
    <row r="366" s="7" customFormat="1" ht="13.5" customHeight="1"/>
    <row r="367" s="7" customFormat="1" ht="13.5" customHeight="1"/>
    <row r="368" s="7" customFormat="1" ht="13.5" customHeight="1"/>
    <row r="369" s="7" customFormat="1" ht="13.5" customHeight="1"/>
    <row r="370" s="7" customFormat="1" ht="13.5" customHeight="1"/>
    <row r="371" s="7" customFormat="1" ht="13.5" customHeight="1"/>
    <row r="372" s="7" customFormat="1" ht="13.5" customHeight="1"/>
    <row r="373" s="7" customFormat="1" ht="13.5" customHeight="1"/>
    <row r="374" s="7" customFormat="1" ht="13.5" customHeight="1"/>
    <row r="375" s="7" customFormat="1" ht="13.5" customHeight="1"/>
    <row r="376" s="7" customFormat="1" ht="13.5" customHeight="1"/>
    <row r="377" s="7" customFormat="1" ht="13.5" customHeight="1"/>
    <row r="378" s="7" customFormat="1" ht="13.5" customHeight="1"/>
    <row r="379" s="7" customFormat="1" ht="13.5" customHeight="1"/>
    <row r="380" s="7" customFormat="1" ht="13.5" customHeight="1"/>
    <row r="381" s="7" customFormat="1" ht="13.5" customHeight="1"/>
    <row r="382" s="7" customFormat="1" ht="13.5" customHeight="1"/>
    <row r="383" s="7" customFormat="1" ht="13.5" customHeight="1"/>
    <row r="384" s="7" customFormat="1" ht="13.5" customHeight="1"/>
    <row r="385" s="7" customFormat="1" ht="13.5" customHeight="1"/>
    <row r="386" s="7" customFormat="1" ht="13.5" customHeight="1"/>
    <row r="387" s="7" customFormat="1" ht="13.5" customHeight="1"/>
    <row r="388" s="7" customFormat="1" ht="13.5" customHeight="1"/>
    <row r="389" s="7" customFormat="1" ht="13.5" customHeight="1"/>
    <row r="390" s="7" customFormat="1" ht="13.5" customHeight="1"/>
    <row r="391" s="7" customFormat="1" ht="13.5" customHeight="1"/>
    <row r="392" s="7" customFormat="1" ht="13.5" customHeight="1"/>
    <row r="393" s="7" customFormat="1" ht="13.5" customHeight="1"/>
    <row r="394" s="7" customFormat="1" ht="13.5" customHeight="1"/>
    <row r="395" s="7" customFormat="1" ht="13.5" customHeight="1"/>
    <row r="396" s="7" customFormat="1" ht="13.5" customHeight="1"/>
    <row r="397" s="7" customFormat="1" ht="13.5" customHeight="1"/>
    <row r="398" s="7" customFormat="1" ht="13.5" customHeight="1"/>
    <row r="399" s="7" customFormat="1" ht="13.5" customHeight="1"/>
    <row r="400" s="7" customFormat="1" ht="13.5" customHeight="1"/>
    <row r="401" s="7" customFormat="1" ht="13.5" customHeight="1"/>
    <row r="402" s="7" customFormat="1" ht="13.5" customHeight="1"/>
    <row r="403" s="7" customFormat="1" ht="13.5" customHeight="1"/>
    <row r="404" s="7" customFormat="1" ht="13.5" customHeight="1"/>
    <row r="405" s="7" customFormat="1" ht="13.5" customHeight="1"/>
    <row r="406" s="7" customFormat="1" ht="13.5" customHeight="1"/>
    <row r="407" s="7" customFormat="1" ht="13.5" customHeight="1"/>
    <row r="408" s="7" customFormat="1" ht="13.5" customHeight="1"/>
    <row r="409" s="7" customFormat="1" ht="13.5" customHeight="1"/>
    <row r="410" s="7" customFormat="1" ht="13.5" customHeight="1"/>
    <row r="411" s="7" customFormat="1" ht="13.5" customHeight="1"/>
    <row r="412" s="7" customFormat="1" ht="13.5" customHeight="1"/>
    <row r="413" s="7" customFormat="1" ht="13.5" customHeight="1"/>
    <row r="414" s="7" customFormat="1" ht="13.5" customHeight="1"/>
    <row r="415" s="7" customFormat="1" ht="13.5" customHeight="1"/>
    <row r="416" s="7" customFormat="1" ht="13.5" customHeight="1"/>
    <row r="417" s="7" customFormat="1" ht="13.5" customHeight="1"/>
    <row r="418" s="7" customFormat="1" ht="13.5" customHeight="1"/>
    <row r="419" s="7" customFormat="1" ht="13.5" customHeight="1"/>
    <row r="420" s="7" customFormat="1" ht="13.5" customHeight="1"/>
    <row r="421" s="7" customFormat="1" ht="13.5" customHeight="1"/>
    <row r="422" s="7" customFormat="1" ht="13.5" customHeight="1"/>
    <row r="423" s="7" customFormat="1" ht="13.5" customHeight="1"/>
    <row r="424" s="7" customFormat="1" ht="13.5" customHeight="1"/>
    <row r="425" s="7" customFormat="1" ht="13.5" customHeight="1"/>
    <row r="426" s="7" customFormat="1" ht="13.5" customHeight="1"/>
    <row r="427" s="7" customFormat="1" ht="13.5" customHeight="1"/>
    <row r="428" s="7" customFormat="1" ht="13.5" customHeight="1"/>
    <row r="429" s="7" customFormat="1" ht="13.5" customHeight="1"/>
    <row r="430" s="7" customFormat="1" ht="13.5" customHeight="1"/>
    <row r="431" s="7" customFormat="1" ht="13.5" customHeight="1"/>
    <row r="432" s="7" customFormat="1" ht="13.5" customHeight="1"/>
    <row r="433" s="7" customFormat="1" ht="13.5" customHeight="1"/>
    <row r="434" s="7" customFormat="1" ht="13.5" customHeight="1"/>
    <row r="435" s="7" customFormat="1" ht="13.5" customHeight="1"/>
    <row r="436" s="7" customFormat="1" ht="13.5" customHeight="1"/>
    <row r="437" s="7" customFormat="1" ht="13.5" customHeight="1"/>
    <row r="438" s="7" customFormat="1" ht="13.5" customHeight="1"/>
    <row r="439" s="7" customFormat="1" ht="13.5" customHeight="1"/>
    <row r="440" s="7" customFormat="1" ht="13.5" customHeight="1"/>
    <row r="441" s="7" customFormat="1" ht="13.5" customHeight="1"/>
    <row r="442" s="7" customFormat="1" ht="13.5" customHeight="1"/>
    <row r="443" s="7" customFormat="1" ht="13.5" customHeight="1"/>
    <row r="444" s="7" customFormat="1" ht="13.5" customHeight="1"/>
    <row r="445" s="7" customFormat="1" ht="13.5" customHeight="1"/>
    <row r="446" s="7" customFormat="1" ht="13.5" customHeight="1"/>
    <row r="447" s="7" customFormat="1" ht="13.5" customHeight="1"/>
    <row r="448" s="7" customFormat="1" ht="13.5" customHeight="1"/>
    <row r="449" s="7" customFormat="1" ht="13.5" customHeight="1"/>
    <row r="450" s="7" customFormat="1" ht="13.5" customHeight="1"/>
    <row r="451" s="7" customFormat="1" ht="13.5" customHeight="1"/>
    <row r="452" s="7" customFormat="1" ht="13.5" customHeight="1"/>
    <row r="453" s="7" customFormat="1" ht="13.5" customHeight="1"/>
    <row r="454" s="7" customFormat="1" ht="13.5" customHeight="1"/>
    <row r="455" s="7" customFormat="1" ht="13.5" customHeight="1"/>
    <row r="456" s="7" customFormat="1" ht="13.5" customHeight="1"/>
    <row r="457" s="7" customFormat="1" ht="13.5" customHeight="1"/>
    <row r="458" s="7" customFormat="1" ht="13.5" customHeight="1"/>
    <row r="459" s="7" customFormat="1" ht="13.5" customHeight="1"/>
    <row r="460" s="7" customFormat="1" ht="13.5" customHeight="1"/>
    <row r="461" s="7" customFormat="1" ht="13.5" customHeight="1"/>
    <row r="462" s="7" customFormat="1" ht="13.5" customHeight="1"/>
    <row r="463" s="7" customFormat="1" ht="13.5" customHeight="1"/>
    <row r="464" s="7" customFormat="1" ht="13.5" customHeight="1"/>
    <row r="465" s="7" customFormat="1" ht="13.5" customHeight="1"/>
    <row r="466" s="7" customFormat="1" ht="13.5" customHeight="1"/>
    <row r="467" s="7" customFormat="1" ht="13.5" customHeight="1"/>
    <row r="468" s="7" customFormat="1" ht="13.5" customHeight="1"/>
    <row r="469" s="7" customFormat="1" ht="13.5" customHeight="1"/>
    <row r="470" s="7" customFormat="1" ht="13.5" customHeight="1"/>
    <row r="471" s="7" customFormat="1" ht="13.5" customHeight="1"/>
    <row r="472" s="7" customFormat="1" ht="13.5" customHeight="1"/>
    <row r="473" s="7" customFormat="1" ht="13.5" customHeight="1"/>
    <row r="474" s="7" customFormat="1" ht="13.5" customHeight="1"/>
    <row r="475" s="7" customFormat="1" ht="13.5" customHeight="1"/>
    <row r="476" s="7" customFormat="1" ht="13.5" customHeight="1"/>
    <row r="477" s="7" customFormat="1" ht="13.5" customHeight="1"/>
    <row r="478" s="7" customFormat="1" ht="13.5" customHeight="1"/>
    <row r="479" s="7" customFormat="1" ht="13.5" customHeight="1"/>
    <row r="480" s="7" customFormat="1" ht="13.5" customHeight="1"/>
    <row r="481" s="7" customFormat="1" ht="13.5" customHeight="1"/>
    <row r="482" s="7" customFormat="1" ht="13.5" customHeight="1"/>
    <row r="483" s="7" customFormat="1" ht="13.5" customHeight="1"/>
    <row r="484" s="7" customFormat="1" ht="13.5" customHeight="1"/>
    <row r="485" s="7" customFormat="1" ht="13.5" customHeight="1"/>
    <row r="486" s="7" customFormat="1" ht="13.5" customHeight="1"/>
    <row r="487" s="7" customFormat="1" ht="13.5" customHeight="1"/>
    <row r="488" s="7" customFormat="1" ht="13.5" customHeight="1"/>
    <row r="489" s="7" customFormat="1" ht="13.5" customHeight="1"/>
    <row r="490" s="7" customFormat="1" ht="13.5" customHeight="1"/>
    <row r="491" s="7" customFormat="1" ht="13.5" customHeight="1"/>
    <row r="492" s="7" customFormat="1" ht="13.5" customHeight="1"/>
    <row r="493" s="7" customFormat="1" ht="13.5" customHeight="1"/>
    <row r="494" s="7" customFormat="1" ht="13.5" customHeight="1"/>
    <row r="495" s="7" customFormat="1" ht="13.5" customHeight="1"/>
    <row r="496" s="7" customFormat="1" ht="13.5" customHeight="1"/>
    <row r="497" s="7" customFormat="1" ht="13.5" customHeight="1"/>
    <row r="498" s="7" customFormat="1" ht="13.5" customHeight="1"/>
    <row r="499" s="7" customFormat="1" ht="13.5" customHeight="1"/>
    <row r="500" s="7" customFormat="1" ht="13.5" customHeight="1"/>
    <row r="501" s="7" customFormat="1" ht="13.5" customHeight="1"/>
    <row r="502" s="7" customFormat="1" ht="13.5" customHeight="1"/>
    <row r="503" s="7" customFormat="1" ht="13.5" customHeight="1"/>
    <row r="504" s="7" customFormat="1" ht="13.5" customHeight="1"/>
    <row r="505" s="7" customFormat="1" ht="13.5" customHeight="1"/>
    <row r="506" s="7" customFormat="1" ht="13.5" customHeight="1"/>
    <row r="507" s="7" customFormat="1" ht="13.5" customHeight="1"/>
    <row r="508" s="7" customFormat="1" ht="13.5" customHeight="1"/>
    <row r="509" s="7" customFormat="1" ht="13.5" customHeight="1"/>
    <row r="510" s="7" customFormat="1" ht="13.5" customHeight="1"/>
    <row r="511" s="7" customFormat="1" ht="13.5" customHeight="1"/>
    <row r="512" s="7" customFormat="1" ht="13.5" customHeight="1"/>
    <row r="513" s="7" customFormat="1" ht="13.5" customHeight="1"/>
    <row r="514" s="7" customFormat="1" ht="13.5" customHeight="1"/>
    <row r="515" s="7" customFormat="1" ht="13.5" customHeight="1"/>
    <row r="516" s="7" customFormat="1" ht="13.5" customHeight="1"/>
    <row r="517" s="7" customFormat="1" ht="13.5" customHeight="1"/>
    <row r="518" s="7" customFormat="1" ht="13.5" customHeight="1"/>
    <row r="519" s="7" customFormat="1" ht="13.5" customHeight="1"/>
    <row r="520" s="7" customFormat="1" ht="13.5" customHeight="1"/>
    <row r="521" s="7" customFormat="1" ht="13.5" customHeight="1"/>
    <row r="522" s="7" customFormat="1" ht="13.5" customHeight="1"/>
    <row r="523" s="7" customFormat="1" ht="13.5" customHeight="1"/>
    <row r="524" s="7" customFormat="1" ht="13.5" customHeight="1"/>
    <row r="525" s="7" customFormat="1" ht="13.5" customHeight="1"/>
    <row r="526" s="7" customFormat="1" ht="13.5" customHeight="1"/>
    <row r="527" s="7" customFormat="1" ht="13.5" customHeight="1"/>
    <row r="528" s="7" customFormat="1" ht="13.5" customHeight="1"/>
    <row r="529" s="7" customFormat="1" ht="13.5" customHeight="1"/>
    <row r="530" s="7" customFormat="1" ht="13.5" customHeight="1"/>
    <row r="531" s="7" customFormat="1" ht="13.5" customHeight="1"/>
    <row r="532" s="7" customFormat="1" ht="13.5" customHeight="1"/>
    <row r="533" s="7" customFormat="1" ht="13.5" customHeight="1"/>
    <row r="534" s="7" customFormat="1" ht="13.5" customHeight="1"/>
    <row r="535" s="7" customFormat="1" ht="13.5" customHeight="1"/>
    <row r="536" s="7" customFormat="1" ht="13.5" customHeight="1"/>
    <row r="537" s="7" customFormat="1" ht="13.5" customHeight="1"/>
    <row r="538" s="7" customFormat="1" ht="13.5" customHeight="1"/>
    <row r="539" s="7" customFormat="1" ht="13.5" customHeight="1"/>
    <row r="540" s="7" customFormat="1" ht="13.5" customHeight="1"/>
    <row r="541" s="7" customFormat="1" ht="13.5" customHeight="1"/>
    <row r="542" s="7" customFormat="1" ht="13.5" customHeight="1"/>
    <row r="543" s="7" customFormat="1" ht="13.5" customHeight="1"/>
    <row r="544" s="7" customFormat="1" ht="13.5" customHeight="1"/>
    <row r="545" s="7" customFormat="1" ht="13.5" customHeight="1"/>
    <row r="546" s="7" customFormat="1" ht="13.5" customHeight="1"/>
    <row r="547" s="7" customFormat="1" ht="13.5" customHeight="1"/>
    <row r="548" s="7" customFormat="1" ht="13.5" customHeight="1"/>
    <row r="549" s="7" customFormat="1" ht="13.5" customHeight="1"/>
    <row r="550" s="7" customFormat="1" ht="13.5" customHeight="1"/>
    <row r="551" s="7" customFormat="1" ht="13.5" customHeight="1"/>
    <row r="552" s="7" customFormat="1" ht="13.5" customHeight="1"/>
    <row r="553" s="7" customFormat="1" ht="13.5" customHeight="1"/>
    <row r="554" s="7" customFormat="1" ht="13.5" customHeight="1"/>
    <row r="555" s="7" customFormat="1" ht="13.5" customHeight="1"/>
    <row r="556" s="7" customFormat="1" ht="13.5" customHeight="1"/>
    <row r="557" s="7" customFormat="1" ht="13.5" customHeight="1"/>
    <row r="558" s="7" customFormat="1" ht="13.5" customHeight="1"/>
    <row r="559" s="7" customFormat="1" ht="13.5" customHeight="1"/>
    <row r="560" s="7" customFormat="1" ht="13.5" customHeight="1"/>
    <row r="561" s="7" customFormat="1" ht="13.5" customHeight="1"/>
    <row r="562" s="7" customFormat="1" ht="13.5" customHeight="1"/>
    <row r="563" s="7" customFormat="1" ht="13.5" customHeight="1"/>
    <row r="564" s="7" customFormat="1" ht="13.5" customHeight="1"/>
    <row r="565" s="7" customFormat="1" ht="13.5" customHeight="1"/>
    <row r="566" s="7" customFormat="1" ht="13.5" customHeight="1"/>
    <row r="567" s="7" customFormat="1" ht="13.5" customHeight="1"/>
    <row r="568" s="7" customFormat="1" ht="13.5" customHeight="1"/>
    <row r="569" s="7" customFormat="1" ht="13.5" customHeight="1"/>
    <row r="570" s="7" customFormat="1" ht="13.5" customHeight="1"/>
    <row r="571" s="7" customFormat="1" ht="13.5" customHeight="1"/>
    <row r="572" s="7" customFormat="1" ht="13.5" customHeight="1"/>
    <row r="573" s="7" customFormat="1" ht="13.5" customHeight="1"/>
    <row r="574" s="7" customFormat="1" ht="13.5" customHeight="1"/>
    <row r="575" s="7" customFormat="1" ht="13.5" customHeight="1"/>
    <row r="576" s="7" customFormat="1" ht="13.5" customHeight="1"/>
    <row r="577" s="7" customFormat="1" ht="13.5" customHeight="1"/>
    <row r="578" s="7" customFormat="1" ht="13.5" customHeight="1"/>
    <row r="579" s="7" customFormat="1" ht="13.5" customHeight="1"/>
    <row r="580" s="7" customFormat="1" ht="13.5" customHeight="1"/>
    <row r="581" s="7" customFormat="1" ht="13.5" customHeight="1"/>
    <row r="582" s="7" customFormat="1" ht="13.5" customHeight="1"/>
    <row r="583" s="7" customFormat="1" ht="13.5" customHeight="1"/>
    <row r="584" s="7" customFormat="1" ht="13.5" customHeight="1"/>
    <row r="585" s="7" customFormat="1" ht="13.5" customHeight="1"/>
    <row r="586" s="7" customFormat="1" ht="13.5" customHeight="1"/>
    <row r="587" s="7" customFormat="1" ht="13.5" customHeight="1"/>
    <row r="588" s="7" customFormat="1" ht="13.5" customHeight="1"/>
    <row r="589" s="7" customFormat="1" ht="13.5" customHeight="1"/>
    <row r="590" s="7" customFormat="1" ht="13.5" customHeight="1"/>
    <row r="591" s="7" customFormat="1" ht="13.5" customHeight="1"/>
    <row r="592" s="7" customFormat="1" ht="13.5" customHeight="1"/>
    <row r="593" s="7" customFormat="1" ht="13.5" customHeight="1"/>
    <row r="594" s="7" customFormat="1" ht="13.5" customHeight="1"/>
    <row r="595" s="7" customFormat="1" ht="13.5" customHeight="1"/>
    <row r="596" s="7" customFormat="1" ht="13.5" customHeight="1"/>
    <row r="597" s="7" customFormat="1" ht="13.5" customHeight="1"/>
    <row r="598" s="7" customFormat="1" ht="13.5" customHeight="1"/>
    <row r="599" s="7" customFormat="1" ht="13.5" customHeight="1"/>
    <row r="600" s="7" customFormat="1" ht="13.5" customHeight="1"/>
    <row r="601" s="7" customFormat="1" ht="13.5" customHeight="1"/>
    <row r="602" s="7" customFormat="1" ht="13.5" customHeight="1"/>
    <row r="603" s="7" customFormat="1" ht="13.5" customHeight="1"/>
    <row r="604" s="7" customFormat="1" ht="13.5" customHeight="1"/>
    <row r="605" s="7" customFormat="1" ht="13.5" customHeight="1"/>
    <row r="606" s="7" customFormat="1" ht="13.5" customHeight="1"/>
    <row r="607" s="7" customFormat="1" ht="13.5" customHeight="1"/>
    <row r="608" s="7" customFormat="1" ht="13.5" customHeight="1"/>
    <row r="609" s="7" customFormat="1" ht="13.5" customHeight="1"/>
    <row r="610" s="7" customFormat="1" ht="13.5" customHeight="1"/>
    <row r="611" s="7" customFormat="1" ht="13.5" customHeight="1"/>
    <row r="612" s="7" customFormat="1" ht="13.5" customHeight="1"/>
    <row r="613" s="7" customFormat="1" ht="13.5" customHeight="1"/>
    <row r="614" s="7" customFormat="1" ht="13.5" customHeight="1"/>
    <row r="615" s="7" customFormat="1" ht="13.5" customHeight="1"/>
    <row r="616" s="7" customFormat="1" ht="13.5" customHeight="1"/>
    <row r="617" s="7" customFormat="1" ht="13.5" customHeight="1"/>
    <row r="618" s="7" customFormat="1" ht="13.5" customHeight="1"/>
    <row r="619" s="7" customFormat="1" ht="13.5" customHeight="1"/>
    <row r="620" s="7" customFormat="1" ht="13.5" customHeight="1"/>
    <row r="621" s="7" customFormat="1" ht="13.5" customHeight="1"/>
    <row r="622" s="7" customFormat="1" ht="13.5" customHeight="1"/>
    <row r="623" s="7" customFormat="1" ht="13.5" customHeight="1"/>
    <row r="624" s="7" customFormat="1" ht="13.5" customHeight="1"/>
    <row r="625" s="7" customFormat="1" ht="13.5" customHeight="1"/>
    <row r="626" s="7" customFormat="1" ht="13.5" customHeight="1"/>
    <row r="627" s="7" customFormat="1" ht="13.5" customHeight="1"/>
    <row r="628" s="7" customFormat="1" ht="13.5" customHeight="1"/>
    <row r="629" s="7" customFormat="1" ht="13.5" customHeight="1"/>
    <row r="630" s="7" customFormat="1" ht="13.5" customHeight="1"/>
    <row r="631" s="7" customFormat="1" ht="13.5" customHeight="1"/>
    <row r="632" s="7" customFormat="1" ht="13.5" customHeight="1"/>
    <row r="633" s="7" customFormat="1" ht="13.5" customHeight="1"/>
    <row r="634" s="7" customFormat="1" ht="13.5" customHeight="1"/>
    <row r="635" s="7" customFormat="1" ht="13.5" customHeight="1"/>
    <row r="636" s="7" customFormat="1" ht="13.5" customHeight="1"/>
    <row r="637" s="7" customFormat="1" ht="13.5" customHeight="1"/>
    <row r="638" s="7" customFormat="1" ht="13.5" customHeight="1"/>
    <row r="639" s="7" customFormat="1" ht="13.5" customHeight="1"/>
    <row r="640" s="7" customFormat="1" ht="13.5" customHeight="1"/>
    <row r="641" s="7" customFormat="1" ht="13.5" customHeight="1"/>
    <row r="642" s="7" customFormat="1" ht="13.5" customHeight="1"/>
    <row r="643" s="7" customFormat="1" ht="13.5" customHeight="1"/>
    <row r="644" s="7" customFormat="1" ht="13.5" customHeight="1"/>
    <row r="645" s="7" customFormat="1" ht="13.5" customHeight="1"/>
    <row r="646" s="7" customFormat="1" ht="13.5" customHeight="1"/>
    <row r="647" s="7" customFormat="1" ht="13.5" customHeight="1"/>
    <row r="648" s="7" customFormat="1" ht="13.5" customHeight="1"/>
    <row r="649" s="7" customFormat="1" ht="13.5" customHeight="1"/>
    <row r="650" s="7" customFormat="1" ht="13.5" customHeight="1"/>
    <row r="651" s="7" customFormat="1" ht="13.5" customHeight="1"/>
    <row r="652" s="7" customFormat="1" ht="13.5" customHeight="1"/>
    <row r="653" s="7" customFormat="1" ht="13.5" customHeight="1"/>
    <row r="654" s="7" customFormat="1" ht="13.5" customHeight="1"/>
    <row r="655" s="7" customFormat="1" ht="13.5" customHeight="1"/>
    <row r="656" s="7" customFormat="1" ht="13.5" customHeight="1"/>
    <row r="657" s="7" customFormat="1" ht="13.5" customHeight="1"/>
    <row r="658" s="7" customFormat="1" ht="13.5" customHeight="1"/>
    <row r="659" s="7" customFormat="1" ht="13.5" customHeight="1"/>
    <row r="660" s="7" customFormat="1" ht="13.5" customHeight="1"/>
    <row r="661" s="7" customFormat="1" ht="13.5" customHeight="1"/>
    <row r="662" s="7" customFormat="1" ht="13.5" customHeight="1"/>
    <row r="663" s="7" customFormat="1" ht="13.5" customHeight="1"/>
    <row r="664" s="7" customFormat="1" ht="13.5" customHeight="1"/>
    <row r="665" s="7" customFormat="1" ht="13.5" customHeight="1"/>
    <row r="666" s="7" customFormat="1" ht="13.5" customHeight="1"/>
    <row r="667" s="7" customFormat="1" ht="13.5" customHeight="1"/>
    <row r="668" s="7" customFormat="1" ht="13.5" customHeight="1"/>
    <row r="669" s="7" customFormat="1" ht="13.5" customHeight="1"/>
    <row r="670" s="7" customFormat="1" ht="13.5" customHeight="1"/>
    <row r="671" s="7" customFormat="1" ht="13.5" customHeight="1"/>
    <row r="672" s="7" customFormat="1" ht="13.5" customHeight="1"/>
    <row r="673" s="7" customFormat="1" ht="13.5" customHeight="1"/>
    <row r="674" s="7" customFormat="1" ht="13.5" customHeight="1"/>
    <row r="675" s="7" customFormat="1" ht="13.5" customHeight="1"/>
    <row r="676" s="7" customFormat="1" ht="13.5" customHeight="1"/>
    <row r="677" s="7" customFormat="1" ht="13.5" customHeight="1"/>
    <row r="678" s="7" customFormat="1" ht="13.5" customHeight="1"/>
    <row r="679" s="7" customFormat="1" ht="13.5" customHeight="1"/>
    <row r="680" s="7" customFormat="1" ht="13.5" customHeight="1"/>
    <row r="681" s="7" customFormat="1" ht="13.5" customHeight="1"/>
    <row r="682" s="7" customFormat="1" ht="13.5" customHeight="1"/>
    <row r="683" s="7" customFormat="1" ht="13.5" customHeight="1"/>
    <row r="684" s="7" customFormat="1" ht="13.5" customHeight="1"/>
    <row r="685" s="7" customFormat="1" ht="13.5" customHeight="1"/>
    <row r="686" s="7" customFormat="1" ht="13.5" customHeight="1"/>
    <row r="687" s="7" customFormat="1" ht="13.5" customHeight="1"/>
    <row r="688" s="7" customFormat="1" ht="13.5" customHeight="1"/>
    <row r="689" s="7" customFormat="1" ht="13.5" customHeight="1"/>
    <row r="690" s="7" customFormat="1" ht="13.5" customHeight="1"/>
    <row r="691" s="7" customFormat="1" ht="13.5" customHeight="1"/>
    <row r="692" s="7" customFormat="1" ht="13.5" customHeight="1"/>
    <row r="693" s="7" customFormat="1" ht="13.5" customHeight="1"/>
    <row r="694" s="7" customFormat="1" ht="13.5" customHeight="1"/>
    <row r="695" s="7" customFormat="1" ht="13.5" customHeight="1"/>
    <row r="696" s="7" customFormat="1" ht="13.5" customHeight="1"/>
    <row r="697" s="7" customFormat="1" ht="13.5" customHeight="1"/>
    <row r="698" s="7" customFormat="1" ht="13.5" customHeight="1"/>
    <row r="699" s="7" customFormat="1" ht="13.5" customHeight="1"/>
    <row r="700" s="7" customFormat="1" ht="13.5" customHeight="1"/>
    <row r="701" s="7" customFormat="1" ht="13.5" customHeight="1"/>
    <row r="702" s="7" customFormat="1" ht="13.5" customHeight="1"/>
    <row r="703" s="7" customFormat="1" ht="13.5" customHeight="1"/>
    <row r="704" s="7" customFormat="1" ht="13.5" customHeight="1"/>
    <row r="705" s="7" customFormat="1" ht="13.5" customHeight="1"/>
    <row r="706" s="7" customFormat="1" ht="13.5" customHeight="1"/>
    <row r="707" s="7" customFormat="1" ht="13.5" customHeight="1"/>
    <row r="708" s="7" customFormat="1" ht="13.5" customHeight="1"/>
    <row r="709" s="7" customFormat="1" ht="13.5" customHeight="1"/>
    <row r="710" s="7" customFormat="1" ht="13.5" customHeight="1"/>
    <row r="711" s="7" customFormat="1" ht="13.5" customHeight="1"/>
    <row r="712" s="7" customFormat="1" ht="13.5" customHeight="1"/>
    <row r="713" s="7" customFormat="1" ht="13.5" customHeight="1"/>
    <row r="714" s="7" customFormat="1" ht="13.5" customHeight="1"/>
    <row r="715" s="7" customFormat="1" ht="13.5" customHeight="1"/>
    <row r="716" s="7" customFormat="1" ht="13.5" customHeight="1"/>
    <row r="717" s="7" customFormat="1" ht="13.5" customHeight="1"/>
    <row r="718" s="7" customFormat="1" ht="13.5" customHeight="1"/>
    <row r="719" s="7" customFormat="1" ht="13.5" customHeight="1"/>
    <row r="720" s="7" customFormat="1" ht="13.5" customHeight="1"/>
    <row r="721" s="7" customFormat="1" ht="13.5" customHeight="1"/>
    <row r="722" s="7" customFormat="1" ht="13.5" customHeight="1"/>
    <row r="723" s="7" customFormat="1" ht="13.5" customHeight="1"/>
    <row r="724" s="7" customFormat="1" ht="13.5" customHeight="1"/>
    <row r="725" s="7" customFormat="1" ht="13.5" customHeight="1"/>
    <row r="726" s="7" customFormat="1" ht="13.5" customHeight="1"/>
    <row r="727" s="7" customFormat="1" ht="13.5" customHeight="1"/>
    <row r="728" s="7" customFormat="1" ht="13.5" customHeight="1"/>
    <row r="729" s="7" customFormat="1" ht="13.5" customHeight="1"/>
    <row r="730" s="7" customFormat="1" ht="13.5" customHeight="1"/>
    <row r="731" s="7" customFormat="1" ht="13.5" customHeight="1"/>
    <row r="732" s="7" customFormat="1" ht="13.5" customHeight="1"/>
    <row r="733" s="7" customFormat="1" ht="13.5" customHeight="1"/>
    <row r="734" s="7" customFormat="1" ht="13.5" customHeight="1"/>
    <row r="735" s="7" customFormat="1" ht="13.5" customHeight="1"/>
    <row r="736" s="7" customFormat="1" ht="13.5" customHeight="1"/>
    <row r="737" s="7" customFormat="1" ht="13.5" customHeight="1"/>
    <row r="738" s="7" customFormat="1" ht="13.5" customHeight="1"/>
    <row r="739" s="7" customFormat="1" ht="13.5" customHeight="1"/>
    <row r="740" s="7" customFormat="1" ht="13.5" customHeight="1"/>
    <row r="741" s="7" customFormat="1" ht="13.5" customHeight="1"/>
    <row r="742" s="7" customFormat="1" ht="13.5" customHeight="1"/>
    <row r="743" s="7" customFormat="1" ht="13.5" customHeight="1"/>
    <row r="744" s="7" customFormat="1" ht="13.5" customHeight="1"/>
    <row r="745" s="7" customFormat="1" ht="13.5" customHeight="1"/>
    <row r="746" s="7" customFormat="1" ht="13.5" customHeight="1"/>
    <row r="747" s="7" customFormat="1" ht="13.5" customHeight="1"/>
    <row r="748" s="7" customFormat="1" ht="13.5" customHeight="1"/>
    <row r="749" s="7" customFormat="1" ht="13.5" customHeight="1"/>
    <row r="750" s="7" customFormat="1" ht="13.5" customHeight="1"/>
    <row r="751" s="7" customFormat="1" ht="13.5" customHeight="1"/>
    <row r="752" s="7" customFormat="1" ht="13.5" customHeight="1"/>
    <row r="753" s="7" customFormat="1" ht="13.5" customHeight="1"/>
    <row r="754" s="7" customFormat="1" ht="13.5" customHeight="1"/>
    <row r="755" s="7" customFormat="1" ht="13.5" customHeight="1"/>
    <row r="756" s="7" customFormat="1" ht="13.5" customHeight="1"/>
    <row r="757" s="7" customFormat="1" ht="13.5" customHeight="1"/>
    <row r="758" s="7" customFormat="1" ht="13.5" customHeight="1"/>
    <row r="759" s="7" customFormat="1" ht="13.5" customHeight="1"/>
    <row r="760" s="7" customFormat="1" ht="13.5" customHeight="1"/>
    <row r="761" s="7" customFormat="1" ht="13.5" customHeight="1"/>
    <row r="762" s="7" customFormat="1" ht="13.5" customHeight="1"/>
    <row r="763" s="7" customFormat="1" ht="13.5" customHeight="1"/>
    <row r="764" s="7" customFormat="1" ht="13.5" customHeight="1"/>
    <row r="765" s="7" customFormat="1" ht="13.5" customHeight="1"/>
    <row r="766" s="7" customFormat="1" ht="13.5" customHeight="1"/>
    <row r="767" s="7" customFormat="1" ht="13.5" customHeight="1"/>
    <row r="768" s="7" customFormat="1" ht="13.5" customHeight="1"/>
    <row r="769" s="7" customFormat="1" ht="13.5" customHeight="1"/>
    <row r="770" s="7" customFormat="1" ht="13.5" customHeight="1"/>
    <row r="771" s="7" customFormat="1" ht="13.5" customHeight="1"/>
    <row r="772" s="7" customFormat="1" ht="13.5" customHeight="1"/>
    <row r="773" s="7" customFormat="1" ht="13.5" customHeight="1"/>
    <row r="774" s="7" customFormat="1" ht="13.5" customHeight="1"/>
    <row r="775" s="7" customFormat="1" ht="13.5" customHeight="1"/>
    <row r="776" s="7" customFormat="1" ht="13.5" customHeight="1"/>
    <row r="777" s="7" customFormat="1" ht="13.5" customHeight="1"/>
    <row r="778" s="7" customFormat="1" ht="13.5" customHeight="1"/>
    <row r="779" s="7" customFormat="1" ht="13.5" customHeight="1"/>
    <row r="780" s="7" customFormat="1" ht="13.5" customHeight="1"/>
    <row r="781" s="7" customFormat="1" ht="13.5" customHeight="1"/>
    <row r="782" s="7" customFormat="1" ht="13.5" customHeight="1"/>
    <row r="783" s="7" customFormat="1" ht="13.5" customHeight="1"/>
    <row r="784" s="7" customFormat="1" ht="13.5" customHeight="1"/>
    <row r="785" s="7" customFormat="1" ht="13.5" customHeight="1"/>
    <row r="786" s="7" customFormat="1" ht="13.5" customHeight="1"/>
    <row r="787" s="7" customFormat="1" ht="13.5" customHeight="1"/>
    <row r="788" s="7" customFormat="1" ht="13.5" customHeight="1"/>
    <row r="789" s="7" customFormat="1" ht="13.5" customHeight="1"/>
    <row r="790" s="7" customFormat="1" ht="13.5" customHeight="1"/>
    <row r="791" s="7" customFormat="1" ht="13.5" customHeight="1"/>
    <row r="792" s="7" customFormat="1" ht="13.5" customHeight="1"/>
    <row r="793" s="7" customFormat="1" ht="13.5" customHeight="1"/>
    <row r="794" s="7" customFormat="1" ht="13.5" customHeight="1"/>
    <row r="795" s="7" customFormat="1" ht="13.5" customHeight="1"/>
    <row r="796" s="7" customFormat="1" ht="13.5" customHeight="1"/>
    <row r="797" s="7" customFormat="1" ht="13.5" customHeight="1"/>
    <row r="798" s="7" customFormat="1" ht="13.5" customHeight="1"/>
    <row r="799" s="7" customFormat="1" ht="13.5" customHeight="1"/>
    <row r="800" s="7" customFormat="1" ht="13.5" customHeight="1"/>
    <row r="801" s="7" customFormat="1" ht="13.5" customHeight="1"/>
    <row r="802" s="7" customFormat="1" ht="13.5" customHeight="1"/>
    <row r="803" s="7" customFormat="1" ht="13.5" customHeight="1"/>
    <row r="804" s="7" customFormat="1" ht="13.5" customHeight="1"/>
    <row r="805" s="7" customFormat="1" ht="13.5" customHeight="1"/>
    <row r="806" s="7" customFormat="1" ht="13.5" customHeight="1"/>
    <row r="807" s="7" customFormat="1" ht="13.5" customHeight="1"/>
    <row r="808" s="7" customFormat="1" ht="13.5" customHeight="1"/>
    <row r="809" s="7" customFormat="1" ht="13.5" customHeight="1"/>
    <row r="810" s="7" customFormat="1" ht="13.5" customHeight="1"/>
    <row r="811" s="7" customFormat="1" ht="13.5" customHeight="1"/>
    <row r="812" s="7" customFormat="1" ht="13.5" customHeight="1"/>
    <row r="813" s="7" customFormat="1" ht="13.5" customHeight="1"/>
    <row r="814" s="7" customFormat="1" ht="13.5" customHeight="1"/>
    <row r="815" s="7" customFormat="1" ht="13.5" customHeight="1"/>
    <row r="816" s="7" customFormat="1" ht="13.5" customHeight="1"/>
    <row r="817" s="7" customFormat="1" ht="13.5" customHeight="1"/>
    <row r="818" s="7" customFormat="1" ht="13.5" customHeight="1"/>
    <row r="819" s="7" customFormat="1" ht="13.5" customHeight="1"/>
    <row r="820" s="7" customFormat="1" ht="13.5" customHeight="1"/>
    <row r="821" s="7" customFormat="1" ht="13.5" customHeight="1"/>
    <row r="822" s="7" customFormat="1" ht="13.5" customHeight="1"/>
    <row r="823" s="7" customFormat="1" ht="13.5" customHeight="1"/>
    <row r="824" s="7" customFormat="1" ht="13.5" customHeight="1"/>
    <row r="825" s="7" customFormat="1" ht="13.5" customHeight="1"/>
    <row r="826" s="7" customFormat="1" ht="13.5" customHeight="1"/>
    <row r="827" s="7" customFormat="1" ht="13.5" customHeight="1"/>
    <row r="828" s="7" customFormat="1" ht="13.5" customHeight="1"/>
    <row r="829" s="7" customFormat="1" ht="13.5" customHeight="1"/>
    <row r="830" s="7" customFormat="1" ht="13.5" customHeight="1"/>
    <row r="831" s="7" customFormat="1" ht="13.5" customHeight="1"/>
    <row r="832" s="7" customFormat="1" ht="13.5" customHeight="1"/>
    <row r="833" s="7" customFormat="1" ht="13.5" customHeight="1"/>
    <row r="834" s="7" customFormat="1" ht="13.5" customHeight="1"/>
    <row r="835" s="7" customFormat="1" ht="13.5" customHeight="1"/>
    <row r="836" s="7" customFormat="1" ht="13.5" customHeight="1"/>
    <row r="837" s="7" customFormat="1" ht="13.5" customHeight="1"/>
    <row r="838" s="7" customFormat="1" ht="13.5" customHeight="1"/>
    <row r="839" s="7" customFormat="1" ht="13.5" customHeight="1"/>
    <row r="840" s="7" customFormat="1" ht="13.5" customHeight="1"/>
    <row r="841" s="7" customFormat="1" ht="13.5" customHeight="1"/>
    <row r="842" s="7" customFormat="1" ht="13.5" customHeight="1"/>
    <row r="843" s="7" customFormat="1" ht="13.5" customHeight="1"/>
    <row r="844" s="7" customFormat="1" ht="13.5" customHeight="1"/>
    <row r="845" s="7" customFormat="1" ht="13.5" customHeight="1"/>
    <row r="846" s="7" customFormat="1" ht="13.5" customHeight="1"/>
    <row r="847" s="7" customFormat="1" ht="13.5" customHeight="1"/>
    <row r="848" s="7" customFormat="1" ht="13.5" customHeight="1"/>
    <row r="849" s="7" customFormat="1" ht="13.5" customHeight="1"/>
    <row r="850" s="7" customFormat="1" ht="13.5" customHeight="1"/>
    <row r="851" s="7" customFormat="1" ht="13.5" customHeight="1"/>
    <row r="852" s="7" customFormat="1" ht="13.5" customHeight="1"/>
    <row r="853" s="7" customFormat="1" ht="13.5" customHeight="1"/>
    <row r="854" s="7" customFormat="1" ht="13.5" customHeight="1"/>
    <row r="855" s="7" customFormat="1" ht="13.5" customHeight="1"/>
    <row r="856" s="7" customFormat="1" ht="13.5" customHeight="1"/>
    <row r="857" s="7" customFormat="1" ht="13.5" customHeight="1"/>
    <row r="858" s="7" customFormat="1" ht="13.5" customHeight="1"/>
    <row r="859" s="7" customFormat="1" ht="13.5" customHeight="1"/>
    <row r="860" s="7" customFormat="1" ht="13.5" customHeight="1"/>
    <row r="861" s="7" customFormat="1" ht="13.5" customHeight="1"/>
    <row r="862" s="7" customFormat="1" ht="13.5" customHeight="1"/>
    <row r="863" s="7" customFormat="1" ht="13.5" customHeight="1"/>
    <row r="864" s="7" customFormat="1" ht="13.5" customHeight="1"/>
    <row r="865" s="7" customFormat="1" ht="13.5" customHeight="1"/>
    <row r="866" s="7" customFormat="1" ht="13.5" customHeight="1"/>
    <row r="867" s="7" customFormat="1" ht="13.5" customHeight="1"/>
    <row r="868" s="7" customFormat="1" ht="13.5" customHeight="1"/>
    <row r="869" s="7" customFormat="1" ht="13.5" customHeight="1"/>
    <row r="870" s="7" customFormat="1" ht="13.5" customHeight="1"/>
    <row r="871" s="7" customFormat="1" ht="13.5" customHeight="1"/>
    <row r="872" s="7" customFormat="1" ht="13.5" customHeight="1"/>
    <row r="873" s="7" customFormat="1" ht="13.5" customHeight="1"/>
    <row r="874" s="7" customFormat="1" ht="13.5" customHeight="1"/>
    <row r="875" s="7" customFormat="1" ht="13.5" customHeight="1"/>
    <row r="876" s="7" customFormat="1" ht="13.5" customHeight="1"/>
    <row r="877" s="7" customFormat="1" ht="13.5" customHeight="1"/>
    <row r="878" s="7" customFormat="1" ht="13.5" customHeight="1"/>
    <row r="879" s="7" customFormat="1" ht="13.5" customHeight="1"/>
    <row r="880" s="7" customFormat="1" ht="13.5" customHeight="1"/>
    <row r="881" s="7" customFormat="1" ht="13.5" customHeight="1"/>
    <row r="882" s="7" customFormat="1" ht="13.5" customHeight="1"/>
    <row r="883" s="7" customFormat="1" ht="13.5" customHeight="1"/>
    <row r="884" s="7" customFormat="1" ht="13.5" customHeight="1"/>
    <row r="885" s="7" customFormat="1" ht="13.5" customHeight="1"/>
    <row r="886" s="7" customFormat="1" ht="13.5" customHeight="1"/>
    <row r="887" s="7" customFormat="1" ht="13.5" customHeight="1"/>
    <row r="888" s="7" customFormat="1" ht="13.5" customHeight="1"/>
    <row r="889" s="7" customFormat="1" ht="13.5" customHeight="1"/>
    <row r="890" s="7" customFormat="1" ht="13.5" customHeight="1"/>
    <row r="891" s="7" customFormat="1" ht="13.5" customHeight="1"/>
    <row r="892" s="7" customFormat="1" ht="13.5" customHeight="1"/>
    <row r="893" s="7" customFormat="1" ht="13.5" customHeight="1"/>
    <row r="894" s="7" customFormat="1" ht="13.5" customHeight="1"/>
    <row r="895" s="7" customFormat="1" ht="13.5" customHeight="1"/>
    <row r="896" s="7" customFormat="1" ht="13.5" customHeight="1"/>
    <row r="897" s="7" customFormat="1" ht="13.5" customHeight="1"/>
    <row r="898" s="7" customFormat="1" ht="13.5" customHeight="1"/>
    <row r="899" s="7" customFormat="1" ht="13.5" customHeight="1"/>
    <row r="900" s="7" customFormat="1" ht="13.5" customHeight="1"/>
    <row r="901" s="7" customFormat="1" ht="13.5" customHeight="1"/>
    <row r="902" s="7" customFormat="1" ht="13.5" customHeight="1"/>
    <row r="903" s="7" customFormat="1" ht="13.5" customHeight="1"/>
    <row r="904" s="7" customFormat="1" ht="13.5" customHeight="1"/>
    <row r="905" s="7" customFormat="1" ht="13.5" customHeight="1"/>
    <row r="906" s="7" customFormat="1" ht="13.5" customHeight="1"/>
    <row r="907" s="7" customFormat="1" ht="13.5" customHeight="1"/>
    <row r="908" s="7" customFormat="1" ht="13.5" customHeight="1"/>
    <row r="909" s="7" customFormat="1" ht="13.5" customHeight="1"/>
    <row r="910" s="7" customFormat="1" ht="13.5" customHeight="1"/>
    <row r="911" s="7" customFormat="1" ht="13.5" customHeight="1"/>
    <row r="912" s="7" customFormat="1" ht="13.5" customHeight="1"/>
    <row r="913" s="7" customFormat="1" ht="13.5" customHeight="1"/>
    <row r="914" s="7" customFormat="1" ht="13.5" customHeight="1"/>
    <row r="915" s="7" customFormat="1" ht="13.5" customHeight="1"/>
    <row r="916" s="7" customFormat="1" ht="13.5" customHeight="1"/>
    <row r="917" s="7" customFormat="1" ht="13.5" customHeight="1"/>
    <row r="918" s="7" customFormat="1" ht="13.5" customHeight="1"/>
    <row r="919" s="7" customFormat="1" ht="13.5" customHeight="1"/>
    <row r="920" s="7" customFormat="1" ht="13.5" customHeight="1"/>
    <row r="921" s="7" customFormat="1" ht="13.5" customHeight="1"/>
    <row r="922" s="7" customFormat="1" ht="13.5" customHeight="1"/>
    <row r="923" s="7" customFormat="1" ht="13.5" customHeight="1"/>
    <row r="924" s="7" customFormat="1" ht="13.5" customHeight="1"/>
    <row r="925" s="7" customFormat="1" ht="13.5" customHeight="1"/>
    <row r="926" s="7" customFormat="1" ht="13.5" customHeight="1"/>
    <row r="927" s="7" customFormat="1" ht="13.5" customHeight="1"/>
    <row r="928" s="7" customFormat="1" ht="13.5" customHeight="1"/>
    <row r="929" s="7" customFormat="1" ht="13.5" customHeight="1"/>
    <row r="930" s="7" customFormat="1" ht="13.5" customHeight="1"/>
    <row r="931" s="7" customFormat="1" ht="13.5" customHeight="1"/>
    <row r="932" s="7" customFormat="1" ht="13.5" customHeight="1"/>
    <row r="933" s="7" customFormat="1" ht="13.5" customHeight="1"/>
    <row r="934" s="7" customFormat="1" ht="13.5" customHeight="1"/>
    <row r="935" s="7" customFormat="1" ht="13.5" customHeight="1"/>
    <row r="936" s="7" customFormat="1" ht="13.5" customHeight="1"/>
    <row r="937" s="7" customFormat="1" ht="13.5" customHeight="1"/>
    <row r="938" s="7" customFormat="1" ht="13.5" customHeight="1"/>
    <row r="939" s="7" customFormat="1" ht="13.5" customHeight="1"/>
    <row r="940" s="7" customFormat="1" ht="13.5" customHeight="1"/>
    <row r="941" s="7" customFormat="1" ht="13.5" customHeight="1"/>
    <row r="942" s="7" customFormat="1" ht="13.5" customHeight="1"/>
    <row r="943" s="7" customFormat="1" ht="13.5" customHeight="1"/>
    <row r="944" s="7" customFormat="1" ht="13.5" customHeight="1"/>
    <row r="945" s="7" customFormat="1" ht="13.5" customHeight="1"/>
    <row r="946" s="7" customFormat="1" ht="13.5" customHeight="1"/>
    <row r="947" s="7" customFormat="1" ht="13.5" customHeight="1"/>
    <row r="948" s="7" customFormat="1" ht="13.5" customHeight="1"/>
    <row r="949" s="7" customFormat="1" ht="13.5" customHeight="1"/>
    <row r="950" s="7" customFormat="1" ht="13.5" customHeight="1"/>
    <row r="951" s="7" customFormat="1" ht="13.5" customHeight="1"/>
    <row r="952" s="7" customFormat="1" ht="13.5" customHeight="1"/>
    <row r="953" s="7" customFormat="1" ht="13.5" customHeight="1"/>
    <row r="954" s="7" customFormat="1" ht="13.5" customHeight="1"/>
    <row r="955" s="7" customFormat="1" ht="13.5" customHeight="1"/>
    <row r="956" s="7" customFormat="1" ht="13.5" customHeight="1"/>
    <row r="957" s="7" customFormat="1" ht="13.5" customHeight="1"/>
    <row r="958" s="7" customFormat="1" ht="13.5" customHeight="1"/>
    <row r="959" s="7" customFormat="1" ht="13.5" customHeight="1"/>
    <row r="960" s="7" customFormat="1" ht="13.5" customHeight="1"/>
    <row r="961" s="7" customFormat="1" ht="13.5" customHeight="1"/>
    <row r="962" s="7" customFormat="1" ht="13.5" customHeight="1"/>
    <row r="963" s="7" customFormat="1" ht="13.5" customHeight="1"/>
    <row r="964" s="7" customFormat="1" ht="13.5" customHeight="1"/>
    <row r="965" s="7" customFormat="1" ht="13.5" customHeight="1"/>
    <row r="966" s="7" customFormat="1" ht="13.5" customHeight="1"/>
    <row r="967" s="7" customFormat="1" ht="13.5" customHeight="1"/>
    <row r="968" s="7" customFormat="1" ht="13.5" customHeight="1"/>
    <row r="969" s="7" customFormat="1" ht="13.5" customHeight="1"/>
    <row r="970" s="7" customFormat="1" ht="13.5" customHeight="1"/>
    <row r="971" s="7" customFormat="1" ht="13.5" customHeight="1"/>
    <row r="972" s="7" customFormat="1" ht="13.5" customHeight="1"/>
    <row r="973" s="7" customFormat="1" ht="13.5" customHeight="1"/>
    <row r="974" s="7" customFormat="1" ht="13.5" customHeight="1"/>
    <row r="975" s="7" customFormat="1" ht="13.5" customHeight="1"/>
    <row r="976" s="7" customFormat="1" ht="13.5" customHeight="1"/>
    <row r="977" s="7" customFormat="1" ht="13.5" customHeight="1"/>
    <row r="978" s="7" customFormat="1" ht="13.5" customHeight="1"/>
    <row r="979" s="7" customFormat="1" ht="13.5" customHeight="1"/>
    <row r="980" s="7" customFormat="1" ht="13.5" customHeight="1"/>
    <row r="981" s="7" customFormat="1" ht="13.5" customHeight="1"/>
    <row r="982" s="7" customFormat="1" ht="13.5" customHeight="1"/>
    <row r="983" s="7" customFormat="1" ht="13.5" customHeight="1"/>
    <row r="984" s="7" customFormat="1" ht="13.5" customHeight="1"/>
    <row r="985" s="7" customFormat="1" ht="13.5" customHeight="1"/>
    <row r="986" s="7" customFormat="1" ht="13.5" customHeight="1"/>
    <row r="987" s="7" customFormat="1" ht="13.5" customHeight="1"/>
    <row r="988" s="7" customFormat="1" ht="13.5" customHeight="1"/>
    <row r="989" s="7" customFormat="1" ht="13.5" customHeight="1"/>
    <row r="990" s="7" customFormat="1" ht="13.5" customHeight="1"/>
    <row r="991" s="7" customFormat="1" ht="13.5" customHeight="1"/>
    <row r="992" s="7" customFormat="1" ht="13.5" customHeight="1"/>
    <row r="993" s="7" customFormat="1" ht="13.5" customHeight="1"/>
    <row r="994" s="7" customFormat="1" ht="13.5" customHeight="1"/>
    <row r="995" s="7" customFormat="1" ht="13.5" customHeight="1"/>
    <row r="996" s="7" customFormat="1" ht="13.5" customHeight="1"/>
    <row r="997" s="7" customFormat="1" ht="13.5" customHeight="1"/>
    <row r="998" s="7" customFormat="1" ht="13.5" customHeight="1"/>
    <row r="999" s="7" customFormat="1" ht="13.5" customHeight="1"/>
    <row r="1000" s="7" customFormat="1" ht="13.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opLeftCell="A6" workbookViewId="0">
      <selection activeCell="A2" sqref="A2"/>
    </sheetView>
  </sheetViews>
  <sheetFormatPr defaultColWidth="12.6640625" defaultRowHeight="15" customHeight="1"/>
  <cols>
    <col min="1" max="1" width="28.75" style="7" customWidth="1"/>
    <col min="2" max="5" width="9.6640625" style="7" customWidth="1"/>
    <col min="6" max="6" width="10.6640625" style="7" customWidth="1"/>
    <col min="7" max="7" width="10.25" style="7" customWidth="1"/>
    <col min="8" max="11" width="11.4140625" style="7" customWidth="1"/>
    <col min="12" max="12" width="10.5" style="7" customWidth="1"/>
    <col min="13" max="26" width="8.4140625" style="7" customWidth="1"/>
    <col min="27" max="16384" width="12.6640625" style="7"/>
  </cols>
  <sheetData>
    <row r="1" spans="1:26" s="373" customFormat="1" ht="13.5" customHeight="1">
      <c r="A1" s="374" t="s">
        <v>95</v>
      </c>
      <c r="B1" s="374"/>
      <c r="C1" s="374"/>
      <c r="D1" s="374"/>
      <c r="E1" s="374"/>
      <c r="F1" s="374"/>
      <c r="G1" s="226"/>
      <c r="H1" s="226"/>
      <c r="I1" s="226"/>
      <c r="J1" s="226"/>
      <c r="K1" s="399"/>
      <c r="L1" s="226"/>
      <c r="M1" s="400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 spans="1:26" s="404" customFormat="1" ht="13.5" customHeight="1">
      <c r="A2" s="401"/>
      <c r="B2" s="374"/>
      <c r="C2" s="374"/>
      <c r="D2" s="374"/>
      <c r="E2" s="374"/>
      <c r="F2" s="374"/>
      <c r="G2" s="279"/>
      <c r="H2" s="279"/>
      <c r="I2" s="279"/>
      <c r="J2" s="279"/>
      <c r="K2" s="402" t="s">
        <v>1</v>
      </c>
      <c r="L2" s="279"/>
      <c r="M2" s="403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</row>
    <row r="3" spans="1:26" ht="13.5" customHeight="1">
      <c r="A3" s="301" t="s">
        <v>96</v>
      </c>
      <c r="B3" s="179">
        <v>2015</v>
      </c>
      <c r="C3" s="179">
        <v>2016</v>
      </c>
      <c r="D3" s="179">
        <v>2017</v>
      </c>
      <c r="E3" s="179">
        <v>2018</v>
      </c>
      <c r="F3" s="179">
        <v>2019</v>
      </c>
      <c r="G3" s="179">
        <v>2020</v>
      </c>
      <c r="H3" s="179">
        <v>2021</v>
      </c>
      <c r="I3" s="179">
        <v>2022</v>
      </c>
      <c r="J3" s="181">
        <v>2023</v>
      </c>
      <c r="K3" s="179">
        <v>2024</v>
      </c>
      <c r="L3" s="302" t="s">
        <v>97</v>
      </c>
      <c r="M3" s="298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6" ht="13.5" customHeight="1">
      <c r="A4" s="303" t="s">
        <v>98</v>
      </c>
      <c r="B4" s="304">
        <v>16163.83</v>
      </c>
      <c r="C4" s="304">
        <v>18540.89</v>
      </c>
      <c r="D4" s="304">
        <v>24204.83</v>
      </c>
      <c r="E4" s="304">
        <v>23944.3</v>
      </c>
      <c r="F4" s="304">
        <v>25190.240000000002</v>
      </c>
      <c r="G4" s="304">
        <v>24955.29</v>
      </c>
      <c r="H4" s="304">
        <v>45873.1</v>
      </c>
      <c r="I4" s="304">
        <v>36018.57</v>
      </c>
      <c r="J4" s="305">
        <v>28171.98</v>
      </c>
      <c r="K4" s="304">
        <v>21060.39</v>
      </c>
      <c r="L4" s="306">
        <v>28896.154132692376</v>
      </c>
      <c r="M4" s="298"/>
      <c r="N4" s="307"/>
      <c r="O4" s="308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13.5" customHeight="1">
      <c r="A5" s="303" t="s">
        <v>99</v>
      </c>
      <c r="B5" s="304">
        <v>3710.74</v>
      </c>
      <c r="C5" s="304">
        <v>5203.49</v>
      </c>
      <c r="D5" s="304">
        <v>5242.2700000000004</v>
      </c>
      <c r="E5" s="304">
        <v>6280.8</v>
      </c>
      <c r="F5" s="304">
        <v>6729.61</v>
      </c>
      <c r="G5" s="304">
        <v>5098.1899999999996</v>
      </c>
      <c r="H5" s="304">
        <v>7444.46</v>
      </c>
      <c r="I5" s="304">
        <v>7991.09</v>
      </c>
      <c r="J5" s="305">
        <v>9607.0499999999993</v>
      </c>
      <c r="K5" s="304">
        <v>10611.14</v>
      </c>
      <c r="L5" s="306">
        <v>11869.348126999999</v>
      </c>
      <c r="M5" s="298"/>
      <c r="N5" s="81"/>
      <c r="O5" s="308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ht="13.5" customHeight="1">
      <c r="A6" s="303" t="s">
        <v>100</v>
      </c>
      <c r="B6" s="304">
        <v>1413.23</v>
      </c>
      <c r="C6" s="304">
        <v>1195.7</v>
      </c>
      <c r="D6" s="304">
        <v>1380.31</v>
      </c>
      <c r="E6" s="304">
        <v>2539.23</v>
      </c>
      <c r="F6" s="304">
        <v>1707.49</v>
      </c>
      <c r="G6" s="304">
        <v>1575.43</v>
      </c>
      <c r="H6" s="304">
        <v>2135.6799999999998</v>
      </c>
      <c r="I6" s="304">
        <v>2635.53</v>
      </c>
      <c r="J6" s="305">
        <v>2561.73</v>
      </c>
      <c r="K6" s="304">
        <v>2476.98</v>
      </c>
      <c r="L6" s="306">
        <v>2920.4235619999999</v>
      </c>
      <c r="M6" s="298"/>
      <c r="N6" s="81"/>
      <c r="O6" s="30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 ht="13.5" customHeight="1">
      <c r="A7" s="303" t="s">
        <v>101</v>
      </c>
      <c r="B7" s="304">
        <v>3970.02</v>
      </c>
      <c r="C7" s="304">
        <v>3862.54</v>
      </c>
      <c r="D7" s="304">
        <v>4050.77</v>
      </c>
      <c r="E7" s="304">
        <v>4412.57</v>
      </c>
      <c r="F7" s="304">
        <v>4933.82</v>
      </c>
      <c r="G7" s="304">
        <v>4611.78</v>
      </c>
      <c r="H7" s="304">
        <v>6267.32</v>
      </c>
      <c r="I7" s="304">
        <v>7831.98</v>
      </c>
      <c r="J7" s="305">
        <v>9444.98</v>
      </c>
      <c r="K7" s="304">
        <v>9186.4699999999993</v>
      </c>
      <c r="L7" s="306">
        <v>9577.5031060000001</v>
      </c>
      <c r="M7" s="298"/>
      <c r="N7" s="81"/>
      <c r="O7" s="308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13.5" customHeight="1">
      <c r="A8" s="303" t="s">
        <v>102</v>
      </c>
      <c r="B8" s="304">
        <v>1638.48</v>
      </c>
      <c r="C8" s="304">
        <v>2288.59</v>
      </c>
      <c r="D8" s="304">
        <v>2653.99</v>
      </c>
      <c r="E8" s="304">
        <v>3931.42</v>
      </c>
      <c r="F8" s="304">
        <v>4357.12</v>
      </c>
      <c r="G8" s="304">
        <v>4669.59</v>
      </c>
      <c r="H8" s="304">
        <v>5395.03</v>
      </c>
      <c r="I8" s="304">
        <v>6360.47</v>
      </c>
      <c r="J8" s="305">
        <v>7765.47</v>
      </c>
      <c r="K8" s="304">
        <v>7619.56</v>
      </c>
      <c r="L8" s="306">
        <v>8970.0092160000004</v>
      </c>
      <c r="M8" s="298"/>
      <c r="N8" s="81"/>
      <c r="O8" s="30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13.5" customHeight="1">
      <c r="A9" s="309" t="s">
        <v>483</v>
      </c>
      <c r="B9" s="304">
        <v>4772.37</v>
      </c>
      <c r="C9" s="304">
        <v>4994.29</v>
      </c>
      <c r="D9" s="304">
        <v>5126.76</v>
      </c>
      <c r="E9" s="304">
        <v>6515.45</v>
      </c>
      <c r="F9" s="304">
        <v>6607.99</v>
      </c>
      <c r="G9" s="304">
        <v>6765.91</v>
      </c>
      <c r="H9" s="304">
        <v>8210.27</v>
      </c>
      <c r="I9" s="304">
        <v>12622.01</v>
      </c>
      <c r="J9" s="305">
        <v>11726.96</v>
      </c>
      <c r="K9" s="304">
        <v>17700.96</v>
      </c>
      <c r="L9" s="306">
        <v>24088.887585</v>
      </c>
      <c r="M9" s="298"/>
      <c r="N9" s="81"/>
      <c r="O9" s="30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ht="13.5" customHeight="1">
      <c r="A10" s="303" t="s">
        <v>103</v>
      </c>
      <c r="B10" s="304">
        <v>5315.61</v>
      </c>
      <c r="C10" s="304">
        <v>8594.0499999999993</v>
      </c>
      <c r="D10" s="304">
        <v>6386.79</v>
      </c>
      <c r="E10" s="304">
        <v>9547.6</v>
      </c>
      <c r="F10" s="304">
        <v>10950.9</v>
      </c>
      <c r="G10" s="304">
        <v>10691.82</v>
      </c>
      <c r="H10" s="304">
        <v>15225.58</v>
      </c>
      <c r="I10" s="304">
        <v>18055.41</v>
      </c>
      <c r="J10" s="305">
        <v>16469.78</v>
      </c>
      <c r="K10" s="304">
        <v>15278.56</v>
      </c>
      <c r="L10" s="306">
        <v>18069.030175</v>
      </c>
      <c r="M10" s="298"/>
      <c r="N10" s="81"/>
      <c r="O10" s="30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ht="13.5" customHeight="1">
      <c r="A11" s="303" t="s">
        <v>104</v>
      </c>
      <c r="B11" s="304">
        <v>19310.189999999999</v>
      </c>
      <c r="C11" s="304">
        <v>16252.85</v>
      </c>
      <c r="D11" s="304">
        <v>16597.57</v>
      </c>
      <c r="E11" s="304">
        <v>17462.38</v>
      </c>
      <c r="F11" s="304">
        <v>18504.73</v>
      </c>
      <c r="G11" s="304">
        <v>14893.1</v>
      </c>
      <c r="H11" s="304">
        <v>19588.46</v>
      </c>
      <c r="I11" s="304">
        <v>13898.77</v>
      </c>
      <c r="J11" s="305">
        <v>17691.38</v>
      </c>
      <c r="K11" s="304">
        <v>20850.22</v>
      </c>
      <c r="L11" s="306">
        <v>26706.206607</v>
      </c>
      <c r="M11" s="298"/>
      <c r="N11" s="81"/>
      <c r="O11" s="30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13.5" customHeight="1">
      <c r="A12" s="303" t="s">
        <v>105</v>
      </c>
      <c r="B12" s="304">
        <v>6934.12</v>
      </c>
      <c r="C12" s="304">
        <v>9319.1</v>
      </c>
      <c r="D12" s="304">
        <v>8736.77</v>
      </c>
      <c r="E12" s="304">
        <v>10304.67</v>
      </c>
      <c r="F12" s="304">
        <v>10916.16</v>
      </c>
      <c r="G12" s="304">
        <v>11245.76</v>
      </c>
      <c r="H12" s="304">
        <v>12386.18</v>
      </c>
      <c r="I12" s="304">
        <v>14895.86</v>
      </c>
      <c r="J12" s="305">
        <v>15587.25</v>
      </c>
      <c r="K12" s="304">
        <v>16358.2</v>
      </c>
      <c r="L12" s="306">
        <v>17229.341541599999</v>
      </c>
      <c r="M12" s="298"/>
      <c r="N12" s="81"/>
      <c r="O12" s="30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ht="13.5" customHeight="1">
      <c r="A13" s="303" t="s">
        <v>106</v>
      </c>
      <c r="B13" s="310">
        <v>7924.1</v>
      </c>
      <c r="C13" s="310">
        <v>9246.6</v>
      </c>
      <c r="D13" s="310">
        <v>9852.98</v>
      </c>
      <c r="E13" s="310">
        <v>12854.18</v>
      </c>
      <c r="F13" s="310">
        <v>13987.41</v>
      </c>
      <c r="G13" s="310">
        <v>13997.85</v>
      </c>
      <c r="H13" s="310">
        <v>17338.95</v>
      </c>
      <c r="I13" s="310">
        <v>20071.740000000002</v>
      </c>
      <c r="J13" s="305">
        <v>20422.830000000002</v>
      </c>
      <c r="K13" s="310">
        <v>22076.37</v>
      </c>
      <c r="L13" s="311">
        <v>25716.085918000001</v>
      </c>
      <c r="M13" s="298"/>
      <c r="N13" s="81"/>
      <c r="O13" s="30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ht="13.5" customHeight="1">
      <c r="A14" s="312" t="s">
        <v>107</v>
      </c>
      <c r="B14" s="313">
        <v>71152.69</v>
      </c>
      <c r="C14" s="313">
        <v>79498.100000000006</v>
      </c>
      <c r="D14" s="313">
        <v>84233.04</v>
      </c>
      <c r="E14" s="313">
        <v>97792.6</v>
      </c>
      <c r="F14" s="313">
        <v>103885.48</v>
      </c>
      <c r="G14" s="314">
        <v>98504.72</v>
      </c>
      <c r="H14" s="314">
        <v>139865.03</v>
      </c>
      <c r="I14" s="315">
        <v>140381.43</v>
      </c>
      <c r="J14" s="316">
        <v>139449.41</v>
      </c>
      <c r="K14" s="313">
        <v>143218.85999999999</v>
      </c>
      <c r="L14" s="317">
        <v>174042.98997029237</v>
      </c>
      <c r="M14" s="298"/>
      <c r="N14" s="308"/>
      <c r="O14" s="30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s="389" customFormat="1" ht="13.5" customHeight="1">
      <c r="A15" s="394" t="s">
        <v>108</v>
      </c>
      <c r="B15" s="394"/>
      <c r="C15" s="394"/>
      <c r="D15" s="394"/>
      <c r="E15" s="394"/>
      <c r="F15" s="394"/>
      <c r="G15" s="394"/>
      <c r="H15" s="394"/>
      <c r="I15" s="394"/>
      <c r="J15" s="394"/>
      <c r="K15" s="406"/>
      <c r="L15" s="394"/>
      <c r="M15" s="394"/>
      <c r="N15" s="394"/>
      <c r="O15" s="394"/>
      <c r="P15" s="394"/>
      <c r="Q15" s="394"/>
      <c r="R15" s="394"/>
      <c r="S15" s="394"/>
      <c r="T15" s="394"/>
      <c r="U15" s="394"/>
      <c r="V15" s="394"/>
      <c r="W15" s="394"/>
      <c r="X15" s="394"/>
      <c r="Y15" s="394"/>
    </row>
    <row r="16" spans="1:26" s="390" customFormat="1" ht="13.5" customHeight="1">
      <c r="A16" s="407" t="s">
        <v>29</v>
      </c>
      <c r="B16" s="408"/>
      <c r="C16" s="408"/>
      <c r="D16" s="408"/>
      <c r="E16" s="408"/>
      <c r="F16" s="408"/>
      <c r="G16" s="408"/>
      <c r="H16" s="387"/>
      <c r="I16" s="387"/>
      <c r="J16" s="387"/>
      <c r="K16" s="409"/>
      <c r="L16" s="387"/>
      <c r="M16" s="387"/>
      <c r="N16" s="387"/>
      <c r="O16" s="387"/>
      <c r="P16" s="387"/>
      <c r="Q16" s="387"/>
      <c r="R16" s="387"/>
      <c r="S16" s="387"/>
      <c r="T16" s="387"/>
      <c r="U16" s="387"/>
      <c r="V16" s="387"/>
      <c r="W16" s="387"/>
      <c r="X16" s="387"/>
      <c r="Y16" s="387"/>
    </row>
    <row r="17" spans="1:26" s="390" customFormat="1" ht="13.5" customHeight="1">
      <c r="A17" s="410" t="s">
        <v>497</v>
      </c>
      <c r="B17" s="387"/>
      <c r="C17" s="387"/>
      <c r="D17" s="387"/>
      <c r="E17" s="387"/>
      <c r="F17" s="387"/>
      <c r="G17" s="387"/>
      <c r="H17" s="387"/>
      <c r="I17" s="387"/>
      <c r="J17" s="387"/>
      <c r="K17" s="409"/>
      <c r="L17" s="387"/>
      <c r="M17" s="387"/>
      <c r="N17" s="387"/>
      <c r="O17" s="387"/>
      <c r="P17" s="387"/>
      <c r="Q17" s="387"/>
      <c r="R17" s="387"/>
      <c r="S17" s="387"/>
      <c r="T17" s="387"/>
      <c r="U17" s="387"/>
      <c r="V17" s="387"/>
      <c r="W17" s="387"/>
      <c r="X17" s="387"/>
      <c r="Y17" s="387"/>
    </row>
    <row r="18" spans="1:26" ht="13.5" customHeight="1">
      <c r="A18" s="319"/>
      <c r="B18" s="28"/>
      <c r="C18" s="136"/>
      <c r="D18" s="136"/>
      <c r="E18" s="28"/>
      <c r="F18" s="28"/>
      <c r="G18" s="6"/>
      <c r="H18" s="81"/>
      <c r="I18" s="81"/>
      <c r="J18" s="81"/>
      <c r="K18" s="318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</row>
    <row r="19" spans="1:26" ht="13.5" customHeight="1">
      <c r="A19" s="81"/>
      <c r="C19" s="68"/>
      <c r="D19" s="68"/>
      <c r="G19" s="81"/>
      <c r="H19" s="81"/>
      <c r="I19" s="81"/>
      <c r="J19" s="81"/>
      <c r="K19" s="318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</row>
    <row r="20" spans="1:26" ht="13.5" customHeight="1">
      <c r="A20" s="81"/>
      <c r="C20" s="68"/>
      <c r="D20" s="68"/>
      <c r="G20" s="81"/>
      <c r="H20" s="81"/>
      <c r="I20" s="81"/>
      <c r="J20" s="81"/>
      <c r="K20" s="318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</row>
    <row r="21" spans="1:26" ht="13.5" customHeight="1">
      <c r="A21" s="81"/>
      <c r="C21" s="68"/>
      <c r="D21" s="68"/>
      <c r="G21" s="81"/>
      <c r="H21" s="81"/>
      <c r="I21" s="81"/>
      <c r="J21" s="81"/>
      <c r="K21" s="318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</row>
    <row r="22" spans="1:26" ht="13.5" customHeight="1">
      <c r="A22" s="81"/>
      <c r="C22" s="68"/>
      <c r="D22" s="68"/>
      <c r="G22" s="81"/>
      <c r="H22" s="81"/>
      <c r="I22" s="81"/>
      <c r="J22" s="81"/>
      <c r="K22" s="318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 spans="1:26" ht="13.5" customHeight="1">
      <c r="A23" s="81"/>
      <c r="C23" s="68"/>
      <c r="D23" s="68"/>
      <c r="G23" s="81"/>
      <c r="H23" s="81"/>
      <c r="I23" s="81"/>
      <c r="J23" s="81"/>
      <c r="K23" s="318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spans="1:26" ht="13.5" customHeight="1">
      <c r="A24" s="81"/>
      <c r="C24" s="68"/>
      <c r="D24" s="68"/>
      <c r="G24" s="81"/>
      <c r="H24" s="81"/>
      <c r="I24" s="81"/>
      <c r="J24" s="81"/>
      <c r="K24" s="318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</row>
    <row r="25" spans="1:26" ht="13.5" customHeight="1">
      <c r="A25" s="81"/>
      <c r="C25" s="68"/>
      <c r="D25" s="68"/>
      <c r="G25" s="81"/>
      <c r="H25" s="81"/>
      <c r="I25" s="81"/>
      <c r="J25" s="81"/>
      <c r="K25" s="318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</row>
    <row r="26" spans="1:26" ht="13.5" customHeight="1">
      <c r="A26" s="81"/>
      <c r="C26" s="68"/>
      <c r="D26" s="68"/>
      <c r="G26" s="81"/>
      <c r="H26" s="81"/>
      <c r="I26" s="81"/>
      <c r="J26" s="81"/>
      <c r="K26" s="318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</row>
    <row r="27" spans="1:26" ht="13.5" customHeight="1">
      <c r="A27" s="81"/>
      <c r="C27" s="68"/>
      <c r="D27" s="68"/>
      <c r="G27" s="81"/>
      <c r="H27" s="81"/>
      <c r="I27" s="81"/>
      <c r="J27" s="81"/>
      <c r="K27" s="318"/>
      <c r="L27" s="81"/>
      <c r="M27" s="298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3.5" customHeight="1">
      <c r="A28" s="81"/>
      <c r="G28" s="81"/>
      <c r="H28" s="81"/>
      <c r="I28" s="81"/>
      <c r="J28" s="81"/>
      <c r="K28" s="318"/>
      <c r="L28" s="81"/>
      <c r="M28" s="298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3.5" customHeight="1">
      <c r="A29" s="81"/>
      <c r="G29" s="81"/>
      <c r="H29" s="81"/>
      <c r="I29" s="81"/>
      <c r="J29" s="81"/>
      <c r="K29" s="318"/>
      <c r="L29" s="81"/>
      <c r="M29" s="298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13.5" customHeight="1">
      <c r="A30" s="81"/>
      <c r="G30" s="81"/>
      <c r="H30" s="81"/>
      <c r="I30" s="81"/>
      <c r="J30" s="81"/>
      <c r="K30" s="318"/>
      <c r="L30" s="81"/>
      <c r="M30" s="298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3.5" customHeight="1">
      <c r="A31" s="81"/>
      <c r="G31" s="81"/>
      <c r="H31" s="81"/>
      <c r="I31" s="81"/>
      <c r="J31" s="81"/>
      <c r="K31" s="318"/>
      <c r="L31" s="81"/>
      <c r="M31" s="298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13.5" customHeight="1">
      <c r="A32" s="81"/>
      <c r="G32" s="81"/>
      <c r="H32" s="81"/>
      <c r="I32" s="81"/>
      <c r="J32" s="81"/>
      <c r="K32" s="318"/>
      <c r="L32" s="81"/>
      <c r="M32" s="298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3.5" customHeight="1">
      <c r="A33" s="81"/>
      <c r="G33" s="81"/>
      <c r="H33" s="81"/>
      <c r="I33" s="81"/>
      <c r="J33" s="81"/>
      <c r="K33" s="318"/>
      <c r="L33" s="81"/>
      <c r="M33" s="298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3.5" customHeight="1">
      <c r="A34" s="81"/>
      <c r="G34" s="81"/>
      <c r="H34" s="81"/>
      <c r="I34" s="81"/>
      <c r="J34" s="81"/>
      <c r="K34" s="318"/>
      <c r="L34" s="81"/>
      <c r="M34" s="298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3.5" customHeight="1">
      <c r="A35" s="81"/>
      <c r="G35" s="81"/>
      <c r="H35" s="81"/>
      <c r="I35" s="81"/>
      <c r="J35" s="81"/>
      <c r="K35" s="318"/>
      <c r="L35" s="81"/>
      <c r="M35" s="298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3.5" customHeight="1">
      <c r="A36" s="81"/>
      <c r="G36" s="81"/>
      <c r="H36" s="81"/>
      <c r="I36" s="81"/>
      <c r="J36" s="81"/>
      <c r="K36" s="318"/>
      <c r="L36" s="81"/>
      <c r="M36" s="298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13.5" customHeight="1">
      <c r="A37" s="81"/>
      <c r="G37" s="81"/>
      <c r="H37" s="81"/>
      <c r="I37" s="81"/>
      <c r="J37" s="81"/>
      <c r="K37" s="318"/>
      <c r="L37" s="81"/>
      <c r="M37" s="298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13.5" customHeight="1">
      <c r="A38" s="81"/>
      <c r="G38" s="81"/>
      <c r="H38" s="81"/>
      <c r="I38" s="81"/>
      <c r="J38" s="81"/>
      <c r="K38" s="318"/>
      <c r="L38" s="81"/>
      <c r="M38" s="298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13.5" customHeight="1">
      <c r="A39" s="81"/>
      <c r="G39" s="81"/>
      <c r="H39" s="81"/>
      <c r="I39" s="81"/>
      <c r="J39" s="81"/>
      <c r="K39" s="318"/>
      <c r="L39" s="81"/>
      <c r="M39" s="298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3.5" customHeight="1">
      <c r="A40" s="81"/>
      <c r="G40" s="81"/>
      <c r="H40" s="81"/>
      <c r="I40" s="81"/>
      <c r="J40" s="81"/>
      <c r="K40" s="318"/>
      <c r="L40" s="81"/>
      <c r="M40" s="298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13.5" customHeight="1">
      <c r="A41" s="81"/>
      <c r="G41" s="81"/>
      <c r="H41" s="81"/>
      <c r="I41" s="81"/>
      <c r="J41" s="81"/>
      <c r="K41" s="318"/>
      <c r="L41" s="81"/>
      <c r="M41" s="298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13.5" customHeight="1">
      <c r="A42" s="81"/>
      <c r="G42" s="81"/>
      <c r="H42" s="81"/>
      <c r="I42" s="81"/>
      <c r="J42" s="81"/>
      <c r="K42" s="318"/>
      <c r="L42" s="81"/>
      <c r="M42" s="298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3.5" customHeight="1">
      <c r="A43" s="81"/>
      <c r="G43" s="81"/>
      <c r="H43" s="81"/>
      <c r="I43" s="81"/>
      <c r="J43" s="81"/>
      <c r="K43" s="318"/>
      <c r="L43" s="81"/>
      <c r="M43" s="298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13.5" customHeight="1">
      <c r="A44" s="81"/>
      <c r="G44" s="81"/>
      <c r="H44" s="81"/>
      <c r="I44" s="81"/>
      <c r="J44" s="81"/>
      <c r="K44" s="318"/>
      <c r="L44" s="81"/>
      <c r="M44" s="298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13.5" customHeight="1">
      <c r="A45" s="81"/>
      <c r="G45" s="81"/>
      <c r="H45" s="81"/>
      <c r="I45" s="81"/>
      <c r="J45" s="81"/>
      <c r="K45" s="318"/>
      <c r="L45" s="81"/>
      <c r="M45" s="298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13.5" customHeight="1">
      <c r="A46" s="81"/>
      <c r="G46" s="81"/>
      <c r="H46" s="81"/>
      <c r="I46" s="81"/>
      <c r="J46" s="81"/>
      <c r="K46" s="318"/>
      <c r="L46" s="81"/>
      <c r="M46" s="298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13.5" customHeight="1">
      <c r="A47" s="81"/>
      <c r="G47" s="81"/>
      <c r="H47" s="81"/>
      <c r="I47" s="81"/>
      <c r="J47" s="81"/>
      <c r="K47" s="318"/>
      <c r="L47" s="81"/>
      <c r="M47" s="298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13.5" customHeight="1">
      <c r="A48" s="81"/>
      <c r="G48" s="81"/>
      <c r="H48" s="81"/>
      <c r="I48" s="81"/>
      <c r="J48" s="81"/>
      <c r="K48" s="318"/>
      <c r="L48" s="81"/>
      <c r="M48" s="298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13.5" customHeight="1">
      <c r="A49" s="81"/>
      <c r="G49" s="81"/>
      <c r="H49" s="81"/>
      <c r="I49" s="81"/>
      <c r="J49" s="81"/>
      <c r="K49" s="318"/>
      <c r="L49" s="81"/>
      <c r="M49" s="298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3.5" customHeight="1">
      <c r="A50" s="81"/>
      <c r="G50" s="81"/>
      <c r="H50" s="81"/>
      <c r="I50" s="81"/>
      <c r="J50" s="81"/>
      <c r="K50" s="318"/>
      <c r="L50" s="81"/>
      <c r="M50" s="298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3.5" customHeight="1">
      <c r="A51" s="81"/>
      <c r="G51" s="81"/>
      <c r="H51" s="81"/>
      <c r="I51" s="81"/>
      <c r="J51" s="81"/>
      <c r="K51" s="318"/>
      <c r="L51" s="81"/>
      <c r="M51" s="298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3.5" customHeight="1">
      <c r="A52" s="81"/>
      <c r="G52" s="81"/>
      <c r="H52" s="81"/>
      <c r="I52" s="81"/>
      <c r="J52" s="81"/>
      <c r="K52" s="318"/>
      <c r="L52" s="81"/>
      <c r="M52" s="298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ht="13.5" customHeight="1">
      <c r="A53" s="81"/>
      <c r="G53" s="81"/>
      <c r="H53" s="81"/>
      <c r="I53" s="81"/>
      <c r="J53" s="81"/>
      <c r="K53" s="318"/>
      <c r="L53" s="81"/>
      <c r="M53" s="298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13.5" customHeight="1">
      <c r="A54" s="81"/>
      <c r="G54" s="81"/>
      <c r="H54" s="81"/>
      <c r="I54" s="81"/>
      <c r="J54" s="81"/>
      <c r="K54" s="318"/>
      <c r="L54" s="81"/>
      <c r="M54" s="298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13.5" customHeight="1">
      <c r="A55" s="81"/>
      <c r="G55" s="81"/>
      <c r="H55" s="81"/>
      <c r="I55" s="81"/>
      <c r="J55" s="81"/>
      <c r="K55" s="318"/>
      <c r="L55" s="81"/>
      <c r="M55" s="298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13.5" customHeight="1">
      <c r="A56" s="81"/>
      <c r="G56" s="81"/>
      <c r="H56" s="81"/>
      <c r="I56" s="81"/>
      <c r="J56" s="81"/>
      <c r="K56" s="318"/>
      <c r="L56" s="81"/>
      <c r="M56" s="298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13.5" customHeight="1">
      <c r="A57" s="81"/>
      <c r="G57" s="81"/>
      <c r="H57" s="81"/>
      <c r="I57" s="81"/>
      <c r="J57" s="81"/>
      <c r="K57" s="318"/>
      <c r="L57" s="81"/>
      <c r="M57" s="298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13.5" customHeight="1">
      <c r="A58" s="81"/>
      <c r="G58" s="81"/>
      <c r="H58" s="81"/>
      <c r="I58" s="81"/>
      <c r="J58" s="81"/>
      <c r="K58" s="318"/>
      <c r="L58" s="81"/>
      <c r="M58" s="298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13.5" customHeight="1">
      <c r="A59" s="81"/>
      <c r="G59" s="81"/>
      <c r="H59" s="81"/>
      <c r="I59" s="81"/>
      <c r="J59" s="81"/>
      <c r="K59" s="318"/>
      <c r="L59" s="81"/>
      <c r="M59" s="298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ht="13.5" customHeight="1">
      <c r="A60" s="81"/>
      <c r="G60" s="81"/>
      <c r="H60" s="81"/>
      <c r="I60" s="81"/>
      <c r="J60" s="81"/>
      <c r="K60" s="318"/>
      <c r="L60" s="81"/>
      <c r="M60" s="298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13.5" customHeight="1">
      <c r="A61" s="81"/>
      <c r="G61" s="81"/>
      <c r="H61" s="81"/>
      <c r="I61" s="81"/>
      <c r="J61" s="81"/>
      <c r="K61" s="318"/>
      <c r="L61" s="81"/>
      <c r="M61" s="298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3.5" customHeight="1">
      <c r="A62" s="81"/>
      <c r="G62" s="81"/>
      <c r="H62" s="81"/>
      <c r="I62" s="81"/>
      <c r="J62" s="81"/>
      <c r="K62" s="318"/>
      <c r="L62" s="81"/>
      <c r="M62" s="298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3.5" customHeight="1">
      <c r="A63" s="81"/>
      <c r="G63" s="81"/>
      <c r="H63" s="81"/>
      <c r="I63" s="81"/>
      <c r="J63" s="81"/>
      <c r="K63" s="318"/>
      <c r="L63" s="81"/>
      <c r="M63" s="298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13.5" customHeight="1">
      <c r="A64" s="81"/>
      <c r="G64" s="81"/>
      <c r="H64" s="81"/>
      <c r="I64" s="81"/>
      <c r="J64" s="81"/>
      <c r="K64" s="318"/>
      <c r="L64" s="81"/>
      <c r="M64" s="298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13.5" customHeight="1">
      <c r="A65" s="81"/>
      <c r="G65" s="81"/>
      <c r="H65" s="81"/>
      <c r="I65" s="81"/>
      <c r="J65" s="81"/>
      <c r="K65" s="318"/>
      <c r="L65" s="81"/>
      <c r="M65" s="298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13.5" customHeight="1">
      <c r="A66" s="81"/>
      <c r="G66" s="81"/>
      <c r="H66" s="81"/>
      <c r="I66" s="81"/>
      <c r="J66" s="81"/>
      <c r="K66" s="318"/>
      <c r="L66" s="81"/>
      <c r="M66" s="298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13.5" customHeight="1">
      <c r="A67" s="81"/>
      <c r="G67" s="81"/>
      <c r="H67" s="81"/>
      <c r="I67" s="81"/>
      <c r="J67" s="81"/>
      <c r="K67" s="318"/>
      <c r="L67" s="81"/>
      <c r="M67" s="298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ht="13.5" customHeight="1">
      <c r="A68" s="81"/>
      <c r="G68" s="81"/>
      <c r="H68" s="81"/>
      <c r="I68" s="81"/>
      <c r="J68" s="81"/>
      <c r="K68" s="318"/>
      <c r="L68" s="81"/>
      <c r="M68" s="298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13.5" customHeight="1">
      <c r="A69" s="81"/>
      <c r="G69" s="81"/>
      <c r="H69" s="81"/>
      <c r="I69" s="81"/>
      <c r="J69" s="81"/>
      <c r="K69" s="318"/>
      <c r="L69" s="81"/>
      <c r="M69" s="298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13.5" customHeight="1">
      <c r="A70" s="81"/>
      <c r="G70" s="81"/>
      <c r="H70" s="81"/>
      <c r="I70" s="81"/>
      <c r="J70" s="81"/>
      <c r="K70" s="318"/>
      <c r="L70" s="81"/>
      <c r="M70" s="298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13.5" customHeight="1">
      <c r="A71" s="81"/>
      <c r="G71" s="81"/>
      <c r="H71" s="81"/>
      <c r="I71" s="81"/>
      <c r="J71" s="81"/>
      <c r="K71" s="318"/>
      <c r="L71" s="81"/>
      <c r="M71" s="298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13.5" customHeight="1">
      <c r="A72" s="81"/>
      <c r="G72" s="81"/>
      <c r="H72" s="81"/>
      <c r="I72" s="81"/>
      <c r="J72" s="81"/>
      <c r="K72" s="318"/>
      <c r="L72" s="81"/>
      <c r="M72" s="298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13.5" customHeight="1">
      <c r="A73" s="81"/>
      <c r="G73" s="81"/>
      <c r="H73" s="81"/>
      <c r="I73" s="81"/>
      <c r="J73" s="81"/>
      <c r="K73" s="318"/>
      <c r="L73" s="81"/>
      <c r="M73" s="298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13.5" customHeight="1">
      <c r="A74" s="81"/>
      <c r="G74" s="81"/>
      <c r="H74" s="81"/>
      <c r="I74" s="81"/>
      <c r="J74" s="81"/>
      <c r="K74" s="318"/>
      <c r="L74" s="81"/>
      <c r="M74" s="298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ht="13.5" customHeight="1">
      <c r="A75" s="81"/>
      <c r="G75" s="81"/>
      <c r="H75" s="81"/>
      <c r="I75" s="81"/>
      <c r="J75" s="81"/>
      <c r="K75" s="318"/>
      <c r="L75" s="81"/>
      <c r="M75" s="298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13.5" customHeight="1">
      <c r="A76" s="81"/>
      <c r="G76" s="81"/>
      <c r="H76" s="81"/>
      <c r="I76" s="81"/>
      <c r="J76" s="81"/>
      <c r="K76" s="318"/>
      <c r="L76" s="81"/>
      <c r="M76" s="298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13.5" customHeight="1">
      <c r="A77" s="81"/>
      <c r="G77" s="81"/>
      <c r="H77" s="81"/>
      <c r="I77" s="81"/>
      <c r="J77" s="81"/>
      <c r="K77" s="318"/>
      <c r="L77" s="81"/>
      <c r="M77" s="298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13.5" customHeight="1">
      <c r="A78" s="81"/>
      <c r="G78" s="81"/>
      <c r="H78" s="81"/>
      <c r="I78" s="81"/>
      <c r="J78" s="81"/>
      <c r="K78" s="318"/>
      <c r="L78" s="81"/>
      <c r="M78" s="298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13.5" customHeight="1">
      <c r="A79" s="81"/>
      <c r="G79" s="81"/>
      <c r="H79" s="81"/>
      <c r="I79" s="81"/>
      <c r="J79" s="81"/>
      <c r="K79" s="318"/>
      <c r="L79" s="81"/>
      <c r="M79" s="298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ht="13.5" customHeight="1">
      <c r="A80" s="81"/>
      <c r="G80" s="81"/>
      <c r="H80" s="81"/>
      <c r="I80" s="81"/>
      <c r="J80" s="81"/>
      <c r="K80" s="318"/>
      <c r="L80" s="81"/>
      <c r="M80" s="298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13.5" customHeight="1">
      <c r="A81" s="81"/>
      <c r="G81" s="81"/>
      <c r="H81" s="81"/>
      <c r="I81" s="81"/>
      <c r="J81" s="81"/>
      <c r="K81" s="318"/>
      <c r="L81" s="81"/>
      <c r="M81" s="298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13.5" customHeight="1">
      <c r="A82" s="81"/>
      <c r="G82" s="81"/>
      <c r="H82" s="81"/>
      <c r="I82" s="81"/>
      <c r="J82" s="81"/>
      <c r="K82" s="318"/>
      <c r="L82" s="81"/>
      <c r="M82" s="298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13.5" customHeight="1">
      <c r="A83" s="81"/>
      <c r="G83" s="81"/>
      <c r="H83" s="81"/>
      <c r="I83" s="81"/>
      <c r="J83" s="81"/>
      <c r="K83" s="318"/>
      <c r="L83" s="81"/>
      <c r="M83" s="298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ht="13.5" customHeight="1">
      <c r="A84" s="81"/>
      <c r="G84" s="81"/>
      <c r="H84" s="81"/>
      <c r="I84" s="81"/>
      <c r="J84" s="81"/>
      <c r="K84" s="318"/>
      <c r="L84" s="81"/>
      <c r="M84" s="298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13.5" customHeight="1">
      <c r="A85" s="81"/>
      <c r="G85" s="81"/>
      <c r="H85" s="81"/>
      <c r="I85" s="81"/>
      <c r="J85" s="81"/>
      <c r="K85" s="318"/>
      <c r="L85" s="81"/>
      <c r="M85" s="298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13.5" customHeight="1">
      <c r="A86" s="81"/>
      <c r="G86" s="81"/>
      <c r="H86" s="81"/>
      <c r="I86" s="81"/>
      <c r="J86" s="81"/>
      <c r="K86" s="318"/>
      <c r="L86" s="81"/>
      <c r="M86" s="298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3.5" customHeight="1">
      <c r="A87" s="81"/>
      <c r="G87" s="81"/>
      <c r="H87" s="81"/>
      <c r="I87" s="81"/>
      <c r="J87" s="81"/>
      <c r="K87" s="318"/>
      <c r="L87" s="81"/>
      <c r="M87" s="298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3.5" customHeight="1">
      <c r="A88" s="81"/>
      <c r="G88" s="81"/>
      <c r="H88" s="81"/>
      <c r="I88" s="81"/>
      <c r="J88" s="81"/>
      <c r="K88" s="318"/>
      <c r="L88" s="81"/>
      <c r="M88" s="298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13.5" customHeight="1">
      <c r="A89" s="81"/>
      <c r="G89" s="81"/>
      <c r="H89" s="81"/>
      <c r="I89" s="81"/>
      <c r="J89" s="81"/>
      <c r="K89" s="318"/>
      <c r="L89" s="81"/>
      <c r="M89" s="298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13.5" customHeight="1">
      <c r="A90" s="81"/>
      <c r="G90" s="81"/>
      <c r="H90" s="81"/>
      <c r="I90" s="81"/>
      <c r="J90" s="81"/>
      <c r="K90" s="318"/>
      <c r="L90" s="81"/>
      <c r="M90" s="298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13.5" customHeight="1">
      <c r="A91" s="81"/>
      <c r="G91" s="81"/>
      <c r="H91" s="81"/>
      <c r="I91" s="81"/>
      <c r="J91" s="81"/>
      <c r="K91" s="318"/>
      <c r="L91" s="81"/>
      <c r="M91" s="298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13.5" customHeight="1">
      <c r="A92" s="81"/>
      <c r="G92" s="81"/>
      <c r="H92" s="81"/>
      <c r="I92" s="81"/>
      <c r="J92" s="81"/>
      <c r="K92" s="318"/>
      <c r="L92" s="81"/>
      <c r="M92" s="298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13.5" customHeight="1">
      <c r="A93" s="81"/>
      <c r="G93" s="81"/>
      <c r="H93" s="81"/>
      <c r="I93" s="81"/>
      <c r="J93" s="81"/>
      <c r="K93" s="318"/>
      <c r="L93" s="81"/>
      <c r="M93" s="298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13.5" customHeight="1">
      <c r="A94" s="81"/>
      <c r="G94" s="81"/>
      <c r="H94" s="81"/>
      <c r="I94" s="81"/>
      <c r="J94" s="81"/>
      <c r="K94" s="318"/>
      <c r="L94" s="81"/>
      <c r="M94" s="298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13.5" customHeight="1">
      <c r="A95" s="81"/>
      <c r="G95" s="81"/>
      <c r="H95" s="81"/>
      <c r="I95" s="81"/>
      <c r="J95" s="81"/>
      <c r="K95" s="318"/>
      <c r="L95" s="81"/>
      <c r="M95" s="298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13.5" customHeight="1">
      <c r="A96" s="81"/>
      <c r="G96" s="81"/>
      <c r="H96" s="81"/>
      <c r="I96" s="81"/>
      <c r="J96" s="81"/>
      <c r="K96" s="318"/>
      <c r="L96" s="81"/>
      <c r="M96" s="298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13.5" customHeight="1">
      <c r="A97" s="81"/>
      <c r="G97" s="81"/>
      <c r="H97" s="81"/>
      <c r="I97" s="81"/>
      <c r="J97" s="81"/>
      <c r="K97" s="318"/>
      <c r="L97" s="81"/>
      <c r="M97" s="298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 ht="13.5" customHeight="1">
      <c r="A98" s="81"/>
      <c r="G98" s="81"/>
      <c r="H98" s="81"/>
      <c r="I98" s="81"/>
      <c r="J98" s="81"/>
      <c r="K98" s="318"/>
      <c r="L98" s="81"/>
      <c r="M98" s="298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13.5" customHeight="1">
      <c r="A99" s="81"/>
      <c r="G99" s="81"/>
      <c r="H99" s="81"/>
      <c r="I99" s="81"/>
      <c r="J99" s="81"/>
      <c r="K99" s="318"/>
      <c r="L99" s="81"/>
      <c r="M99" s="298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13.5" customHeight="1">
      <c r="A100" s="81"/>
      <c r="G100" s="81"/>
      <c r="H100" s="81"/>
      <c r="I100" s="81"/>
      <c r="J100" s="81"/>
      <c r="K100" s="318"/>
      <c r="L100" s="81"/>
      <c r="M100" s="298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13.5" customHeight="1">
      <c r="A101" s="81"/>
      <c r="G101" s="81"/>
      <c r="H101" s="81"/>
      <c r="I101" s="81"/>
      <c r="J101" s="81"/>
      <c r="K101" s="318"/>
      <c r="L101" s="81"/>
      <c r="M101" s="298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13.5" customHeight="1">
      <c r="A102" s="81"/>
      <c r="G102" s="81"/>
      <c r="H102" s="81"/>
      <c r="I102" s="81"/>
      <c r="J102" s="81"/>
      <c r="K102" s="318"/>
      <c r="L102" s="81"/>
      <c r="M102" s="298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13.5" customHeight="1">
      <c r="A103" s="81"/>
      <c r="G103" s="81"/>
      <c r="H103" s="81"/>
      <c r="I103" s="81"/>
      <c r="J103" s="81"/>
      <c r="K103" s="318"/>
      <c r="L103" s="81"/>
      <c r="M103" s="298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13.5" customHeight="1">
      <c r="A104" s="81"/>
      <c r="G104" s="81"/>
      <c r="H104" s="81"/>
      <c r="I104" s="81"/>
      <c r="J104" s="81"/>
      <c r="K104" s="318"/>
      <c r="L104" s="81"/>
      <c r="M104" s="298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ht="13.5" customHeight="1">
      <c r="A105" s="81"/>
      <c r="G105" s="81"/>
      <c r="H105" s="81"/>
      <c r="I105" s="81"/>
      <c r="J105" s="81"/>
      <c r="K105" s="318"/>
      <c r="L105" s="81"/>
      <c r="M105" s="298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13.5" customHeight="1">
      <c r="A106" s="81"/>
      <c r="G106" s="81"/>
      <c r="H106" s="81"/>
      <c r="I106" s="81"/>
      <c r="J106" s="81"/>
      <c r="K106" s="318"/>
      <c r="L106" s="81"/>
      <c r="M106" s="298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13.5" customHeight="1">
      <c r="A107" s="81"/>
      <c r="G107" s="81"/>
      <c r="H107" s="81"/>
      <c r="I107" s="81"/>
      <c r="J107" s="81"/>
      <c r="K107" s="318"/>
      <c r="L107" s="81"/>
      <c r="M107" s="298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13.5" customHeight="1">
      <c r="A108" s="81"/>
      <c r="G108" s="81"/>
      <c r="H108" s="81"/>
      <c r="I108" s="81"/>
      <c r="J108" s="81"/>
      <c r="K108" s="318"/>
      <c r="L108" s="81"/>
      <c r="M108" s="298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13.5" customHeight="1">
      <c r="A109" s="81"/>
      <c r="G109" s="81"/>
      <c r="H109" s="81"/>
      <c r="I109" s="81"/>
      <c r="J109" s="81"/>
      <c r="K109" s="318"/>
      <c r="L109" s="81"/>
      <c r="M109" s="298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13.5" customHeight="1">
      <c r="A110" s="81"/>
      <c r="G110" s="81"/>
      <c r="H110" s="81"/>
      <c r="I110" s="81"/>
      <c r="J110" s="81"/>
      <c r="K110" s="318"/>
      <c r="L110" s="81"/>
      <c r="M110" s="298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13.5" customHeight="1">
      <c r="A111" s="81"/>
      <c r="G111" s="81"/>
      <c r="H111" s="81"/>
      <c r="I111" s="81"/>
      <c r="J111" s="81"/>
      <c r="K111" s="318"/>
      <c r="L111" s="81"/>
      <c r="M111" s="298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ht="13.5" customHeight="1">
      <c r="A112" s="81"/>
      <c r="G112" s="81"/>
      <c r="H112" s="81"/>
      <c r="I112" s="81"/>
      <c r="J112" s="81"/>
      <c r="K112" s="318"/>
      <c r="L112" s="81"/>
      <c r="M112" s="298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3.5" customHeight="1">
      <c r="A113" s="81"/>
      <c r="G113" s="81"/>
      <c r="H113" s="81"/>
      <c r="I113" s="81"/>
      <c r="J113" s="81"/>
      <c r="K113" s="318"/>
      <c r="L113" s="81"/>
      <c r="M113" s="298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3.5" customHeight="1">
      <c r="A114" s="81"/>
      <c r="G114" s="81"/>
      <c r="H114" s="81"/>
      <c r="I114" s="81"/>
      <c r="J114" s="81"/>
      <c r="K114" s="318"/>
      <c r="L114" s="81"/>
      <c r="M114" s="298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3.5" customHeight="1">
      <c r="A115" s="81"/>
      <c r="G115" s="81"/>
      <c r="H115" s="81"/>
      <c r="I115" s="81"/>
      <c r="J115" s="81"/>
      <c r="K115" s="318"/>
      <c r="L115" s="81"/>
      <c r="M115" s="298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13.5" customHeight="1">
      <c r="A116" s="81"/>
      <c r="G116" s="81"/>
      <c r="H116" s="81"/>
      <c r="I116" s="81"/>
      <c r="J116" s="81"/>
      <c r="K116" s="318"/>
      <c r="L116" s="81"/>
      <c r="M116" s="298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13.5" customHeight="1">
      <c r="A117" s="81"/>
      <c r="G117" s="81"/>
      <c r="H117" s="81"/>
      <c r="I117" s="81"/>
      <c r="J117" s="81"/>
      <c r="K117" s="318"/>
      <c r="L117" s="81"/>
      <c r="M117" s="298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ht="13.5" customHeight="1">
      <c r="A118" s="81"/>
      <c r="G118" s="81"/>
      <c r="H118" s="81"/>
      <c r="I118" s="81"/>
      <c r="J118" s="81"/>
      <c r="K118" s="318"/>
      <c r="L118" s="81"/>
      <c r="M118" s="298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13.5" customHeight="1">
      <c r="A119" s="81"/>
      <c r="G119" s="81"/>
      <c r="H119" s="81"/>
      <c r="I119" s="81"/>
      <c r="J119" s="81"/>
      <c r="K119" s="318"/>
      <c r="L119" s="81"/>
      <c r="M119" s="298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13.5" customHeight="1">
      <c r="A120" s="81"/>
      <c r="G120" s="81"/>
      <c r="H120" s="81"/>
      <c r="I120" s="81"/>
      <c r="J120" s="81"/>
      <c r="K120" s="318"/>
      <c r="L120" s="81"/>
      <c r="M120" s="298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13.5" customHeight="1">
      <c r="A121" s="81"/>
      <c r="G121" s="81"/>
      <c r="H121" s="81"/>
      <c r="I121" s="81"/>
      <c r="J121" s="81"/>
      <c r="K121" s="318"/>
      <c r="L121" s="81"/>
      <c r="M121" s="298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13.5" customHeight="1">
      <c r="A122" s="81"/>
      <c r="G122" s="81"/>
      <c r="H122" s="81"/>
      <c r="I122" s="81"/>
      <c r="J122" s="81"/>
      <c r="K122" s="318"/>
      <c r="L122" s="81"/>
      <c r="M122" s="298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13.5" customHeight="1">
      <c r="A123" s="81"/>
      <c r="G123" s="81"/>
      <c r="H123" s="81"/>
      <c r="I123" s="81"/>
      <c r="J123" s="81"/>
      <c r="K123" s="318"/>
      <c r="L123" s="81"/>
      <c r="M123" s="298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13.5" customHeight="1">
      <c r="A124" s="81"/>
      <c r="G124" s="81"/>
      <c r="H124" s="81"/>
      <c r="I124" s="81"/>
      <c r="J124" s="81"/>
      <c r="K124" s="318"/>
      <c r="L124" s="81"/>
      <c r="M124" s="298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ht="13.5" customHeight="1">
      <c r="A125" s="81"/>
      <c r="G125" s="81"/>
      <c r="H125" s="81"/>
      <c r="I125" s="81"/>
      <c r="J125" s="81"/>
      <c r="K125" s="318"/>
      <c r="L125" s="81"/>
      <c r="M125" s="298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13.5" customHeight="1">
      <c r="A126" s="81"/>
      <c r="G126" s="81"/>
      <c r="H126" s="81"/>
      <c r="I126" s="81"/>
      <c r="J126" s="81"/>
      <c r="K126" s="318"/>
      <c r="L126" s="81"/>
      <c r="M126" s="298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ht="13.5" customHeight="1">
      <c r="A127" s="81"/>
      <c r="G127" s="81"/>
      <c r="H127" s="81"/>
      <c r="I127" s="81"/>
      <c r="J127" s="81"/>
      <c r="K127" s="318"/>
      <c r="L127" s="81"/>
      <c r="M127" s="298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13.5" customHeight="1">
      <c r="A128" s="81"/>
      <c r="G128" s="81"/>
      <c r="H128" s="81"/>
      <c r="I128" s="81"/>
      <c r="J128" s="81"/>
      <c r="K128" s="318"/>
      <c r="L128" s="81"/>
      <c r="M128" s="298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13.5" customHeight="1">
      <c r="A129" s="81"/>
      <c r="G129" s="81"/>
      <c r="H129" s="81"/>
      <c r="I129" s="81"/>
      <c r="J129" s="81"/>
      <c r="K129" s="318"/>
      <c r="L129" s="81"/>
      <c r="M129" s="298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13.5" customHeight="1">
      <c r="A130" s="81"/>
      <c r="G130" s="81"/>
      <c r="H130" s="81"/>
      <c r="I130" s="81"/>
      <c r="J130" s="81"/>
      <c r="K130" s="318"/>
      <c r="L130" s="81"/>
      <c r="M130" s="298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13.5" customHeight="1">
      <c r="A131" s="81"/>
      <c r="G131" s="81"/>
      <c r="H131" s="81"/>
      <c r="I131" s="81"/>
      <c r="J131" s="81"/>
      <c r="K131" s="318"/>
      <c r="L131" s="81"/>
      <c r="M131" s="298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13.5" customHeight="1">
      <c r="A132" s="81"/>
      <c r="G132" s="81"/>
      <c r="H132" s="81"/>
      <c r="I132" s="81"/>
      <c r="J132" s="81"/>
      <c r="K132" s="318"/>
      <c r="L132" s="81"/>
      <c r="M132" s="298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13.5" customHeight="1">
      <c r="A133" s="81"/>
      <c r="G133" s="81"/>
      <c r="H133" s="81"/>
      <c r="I133" s="81"/>
      <c r="J133" s="81"/>
      <c r="K133" s="318"/>
      <c r="L133" s="81"/>
      <c r="M133" s="298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ht="13.5" customHeight="1">
      <c r="A134" s="81"/>
      <c r="G134" s="81"/>
      <c r="H134" s="81"/>
      <c r="I134" s="81"/>
      <c r="J134" s="81"/>
      <c r="K134" s="318"/>
      <c r="L134" s="81"/>
      <c r="M134" s="298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ht="13.5" customHeight="1">
      <c r="A135" s="81"/>
      <c r="G135" s="81"/>
      <c r="H135" s="81"/>
      <c r="I135" s="81"/>
      <c r="J135" s="81"/>
      <c r="K135" s="318"/>
      <c r="L135" s="81"/>
      <c r="M135" s="298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spans="1:26" ht="13.5" customHeight="1">
      <c r="A136" s="81"/>
      <c r="G136" s="81"/>
      <c r="H136" s="81"/>
      <c r="I136" s="81"/>
      <c r="J136" s="81"/>
      <c r="K136" s="318"/>
      <c r="L136" s="81"/>
      <c r="M136" s="298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ht="13.5" customHeight="1">
      <c r="A137" s="81"/>
      <c r="G137" s="81"/>
      <c r="H137" s="81"/>
      <c r="I137" s="81"/>
      <c r="J137" s="81"/>
      <c r="K137" s="318"/>
      <c r="L137" s="81"/>
      <c r="M137" s="298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ht="13.5" customHeight="1">
      <c r="A138" s="81"/>
      <c r="G138" s="81"/>
      <c r="H138" s="81"/>
      <c r="I138" s="81"/>
      <c r="J138" s="81"/>
      <c r="K138" s="318"/>
      <c r="L138" s="81"/>
      <c r="M138" s="298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ht="13.5" customHeight="1">
      <c r="A139" s="81"/>
      <c r="G139" s="81"/>
      <c r="H139" s="81"/>
      <c r="I139" s="81"/>
      <c r="J139" s="81"/>
      <c r="K139" s="318"/>
      <c r="L139" s="81"/>
      <c r="M139" s="298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ht="13.5" customHeight="1">
      <c r="A140" s="81"/>
      <c r="G140" s="81"/>
      <c r="H140" s="81"/>
      <c r="I140" s="81"/>
      <c r="J140" s="81"/>
      <c r="K140" s="318"/>
      <c r="L140" s="81"/>
      <c r="M140" s="298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ht="13.5" customHeight="1">
      <c r="A141" s="81"/>
      <c r="G141" s="81"/>
      <c r="H141" s="81"/>
      <c r="I141" s="81"/>
      <c r="J141" s="81"/>
      <c r="K141" s="318"/>
      <c r="L141" s="81"/>
      <c r="M141" s="298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ht="13.5" customHeight="1">
      <c r="A142" s="81"/>
      <c r="G142" s="81"/>
      <c r="H142" s="81"/>
      <c r="I142" s="81"/>
      <c r="J142" s="81"/>
      <c r="K142" s="318"/>
      <c r="L142" s="81"/>
      <c r="M142" s="298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ht="13.5" customHeight="1">
      <c r="A143" s="81"/>
      <c r="G143" s="81"/>
      <c r="H143" s="81"/>
      <c r="I143" s="81"/>
      <c r="J143" s="81"/>
      <c r="K143" s="318"/>
      <c r="L143" s="81"/>
      <c r="M143" s="298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spans="1:26" ht="13.5" customHeight="1">
      <c r="A144" s="81"/>
      <c r="G144" s="81"/>
      <c r="H144" s="81"/>
      <c r="I144" s="81"/>
      <c r="J144" s="81"/>
      <c r="K144" s="318"/>
      <c r="L144" s="81"/>
      <c r="M144" s="298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ht="13.5" customHeight="1">
      <c r="A145" s="81"/>
      <c r="G145" s="81"/>
      <c r="H145" s="81"/>
      <c r="I145" s="81"/>
      <c r="J145" s="81"/>
      <c r="K145" s="318"/>
      <c r="L145" s="81"/>
      <c r="M145" s="298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ht="13.5" customHeight="1">
      <c r="A146" s="81"/>
      <c r="G146" s="81"/>
      <c r="H146" s="81"/>
      <c r="I146" s="81"/>
      <c r="J146" s="81"/>
      <c r="K146" s="318"/>
      <c r="L146" s="81"/>
      <c r="M146" s="298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ht="13.5" customHeight="1">
      <c r="A147" s="81"/>
      <c r="G147" s="81"/>
      <c r="H147" s="81"/>
      <c r="I147" s="81"/>
      <c r="J147" s="81"/>
      <c r="K147" s="318"/>
      <c r="L147" s="81"/>
      <c r="M147" s="298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ht="13.5" customHeight="1">
      <c r="A148" s="81"/>
      <c r="G148" s="81"/>
      <c r="H148" s="81"/>
      <c r="I148" s="81"/>
      <c r="J148" s="81"/>
      <c r="K148" s="318"/>
      <c r="L148" s="81"/>
      <c r="M148" s="298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ht="13.5" customHeight="1">
      <c r="A149" s="81"/>
      <c r="G149" s="81"/>
      <c r="H149" s="81"/>
      <c r="I149" s="81"/>
      <c r="J149" s="81"/>
      <c r="K149" s="318"/>
      <c r="L149" s="81"/>
      <c r="M149" s="298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ht="13.5" customHeight="1">
      <c r="A150" s="81"/>
      <c r="G150" s="81"/>
      <c r="H150" s="81"/>
      <c r="I150" s="81"/>
      <c r="J150" s="81"/>
      <c r="K150" s="318"/>
      <c r="L150" s="81"/>
      <c r="M150" s="298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spans="1:26" ht="13.5" customHeight="1">
      <c r="A151" s="81"/>
      <c r="G151" s="81"/>
      <c r="H151" s="81"/>
      <c r="I151" s="81"/>
      <c r="J151" s="81"/>
      <c r="K151" s="318"/>
      <c r="L151" s="81"/>
      <c r="M151" s="298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ht="13.5" customHeight="1">
      <c r="A152" s="81"/>
      <c r="G152" s="81"/>
      <c r="H152" s="81"/>
      <c r="I152" s="81"/>
      <c r="J152" s="81"/>
      <c r="K152" s="318"/>
      <c r="L152" s="81"/>
      <c r="M152" s="298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ht="13.5" customHeight="1">
      <c r="A153" s="81"/>
      <c r="G153" s="81"/>
      <c r="H153" s="81"/>
      <c r="I153" s="81"/>
      <c r="J153" s="81"/>
      <c r="K153" s="318"/>
      <c r="L153" s="81"/>
      <c r="M153" s="298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ht="13.5" customHeight="1">
      <c r="A154" s="81"/>
      <c r="G154" s="81"/>
      <c r="H154" s="81"/>
      <c r="I154" s="81"/>
      <c r="J154" s="81"/>
      <c r="K154" s="318"/>
      <c r="L154" s="81"/>
      <c r="M154" s="298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ht="13.5" customHeight="1">
      <c r="A155" s="81"/>
      <c r="G155" s="81"/>
      <c r="H155" s="81"/>
      <c r="I155" s="81"/>
      <c r="J155" s="81"/>
      <c r="K155" s="318"/>
      <c r="L155" s="81"/>
      <c r="M155" s="298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ht="13.5" customHeight="1">
      <c r="A156" s="81"/>
      <c r="G156" s="81"/>
      <c r="H156" s="81"/>
      <c r="I156" s="81"/>
      <c r="J156" s="81"/>
      <c r="K156" s="318"/>
      <c r="L156" s="81"/>
      <c r="M156" s="298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ht="13.5" customHeight="1">
      <c r="A157" s="81"/>
      <c r="G157" s="81"/>
      <c r="H157" s="81"/>
      <c r="I157" s="81"/>
      <c r="J157" s="81"/>
      <c r="K157" s="318"/>
      <c r="L157" s="81"/>
      <c r="M157" s="298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ht="13.5" customHeight="1">
      <c r="A158" s="81"/>
      <c r="G158" s="81"/>
      <c r="H158" s="81"/>
      <c r="I158" s="81"/>
      <c r="J158" s="81"/>
      <c r="K158" s="318"/>
      <c r="L158" s="81"/>
      <c r="M158" s="298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1:26" ht="13.5" customHeight="1">
      <c r="A159" s="81"/>
      <c r="G159" s="81"/>
      <c r="H159" s="81"/>
      <c r="I159" s="81"/>
      <c r="J159" s="81"/>
      <c r="K159" s="318"/>
      <c r="L159" s="81"/>
      <c r="M159" s="298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ht="13.5" customHeight="1">
      <c r="A160" s="81"/>
      <c r="G160" s="81"/>
      <c r="H160" s="81"/>
      <c r="I160" s="81"/>
      <c r="J160" s="81"/>
      <c r="K160" s="318"/>
      <c r="L160" s="81"/>
      <c r="M160" s="298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ht="13.5" customHeight="1">
      <c r="A161" s="81"/>
      <c r="G161" s="81"/>
      <c r="H161" s="81"/>
      <c r="I161" s="81"/>
      <c r="J161" s="81"/>
      <c r="K161" s="318"/>
      <c r="L161" s="81"/>
      <c r="M161" s="298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ht="13.5" customHeight="1">
      <c r="A162" s="81"/>
      <c r="G162" s="81"/>
      <c r="H162" s="81"/>
      <c r="I162" s="81"/>
      <c r="J162" s="81"/>
      <c r="K162" s="318"/>
      <c r="L162" s="81"/>
      <c r="M162" s="298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ht="13.5" customHeight="1">
      <c r="A163" s="81"/>
      <c r="G163" s="81"/>
      <c r="H163" s="81"/>
      <c r="I163" s="81"/>
      <c r="J163" s="81"/>
      <c r="K163" s="318"/>
      <c r="L163" s="81"/>
      <c r="M163" s="298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ht="13.5" customHeight="1">
      <c r="A164" s="81"/>
      <c r="G164" s="81"/>
      <c r="H164" s="81"/>
      <c r="I164" s="81"/>
      <c r="J164" s="81"/>
      <c r="K164" s="318"/>
      <c r="L164" s="81"/>
      <c r="M164" s="298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ht="13.5" customHeight="1">
      <c r="A165" s="81"/>
      <c r="G165" s="81"/>
      <c r="H165" s="81"/>
      <c r="I165" s="81"/>
      <c r="J165" s="81"/>
      <c r="K165" s="318"/>
      <c r="L165" s="81"/>
      <c r="M165" s="298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ht="13.5" customHeight="1">
      <c r="A166" s="81"/>
      <c r="G166" s="81"/>
      <c r="H166" s="81"/>
      <c r="I166" s="81"/>
      <c r="J166" s="81"/>
      <c r="K166" s="318"/>
      <c r="L166" s="81"/>
      <c r="M166" s="298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ht="13.5" customHeight="1">
      <c r="A167" s="81"/>
      <c r="G167" s="81"/>
      <c r="H167" s="81"/>
      <c r="I167" s="81"/>
      <c r="J167" s="81"/>
      <c r="K167" s="318"/>
      <c r="L167" s="81"/>
      <c r="M167" s="298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ht="13.5" customHeight="1">
      <c r="A168" s="81"/>
      <c r="G168" s="81"/>
      <c r="H168" s="81"/>
      <c r="I168" s="81"/>
      <c r="J168" s="81"/>
      <c r="K168" s="318"/>
      <c r="L168" s="81"/>
      <c r="M168" s="298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1:26" ht="13.5" customHeight="1">
      <c r="A169" s="81"/>
      <c r="G169" s="81"/>
      <c r="H169" s="81"/>
      <c r="I169" s="81"/>
      <c r="J169" s="81"/>
      <c r="K169" s="318"/>
      <c r="L169" s="81"/>
      <c r="M169" s="298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1:26" ht="13.5" customHeight="1">
      <c r="A170" s="81"/>
      <c r="G170" s="81"/>
      <c r="H170" s="81"/>
      <c r="I170" s="81"/>
      <c r="J170" s="81"/>
      <c r="K170" s="318"/>
      <c r="L170" s="81"/>
      <c r="M170" s="298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1:26" ht="13.5" customHeight="1">
      <c r="A171" s="81"/>
      <c r="G171" s="81"/>
      <c r="H171" s="81"/>
      <c r="I171" s="81"/>
      <c r="J171" s="81"/>
      <c r="K171" s="318"/>
      <c r="L171" s="81"/>
      <c r="M171" s="298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1:26" ht="13.5" customHeight="1">
      <c r="A172" s="81"/>
      <c r="G172" s="81"/>
      <c r="H172" s="81"/>
      <c r="I172" s="81"/>
      <c r="J172" s="81"/>
      <c r="K172" s="318"/>
      <c r="L172" s="81"/>
      <c r="M172" s="298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1:26" ht="13.5" customHeight="1">
      <c r="A173" s="81"/>
      <c r="G173" s="81"/>
      <c r="H173" s="81"/>
      <c r="I173" s="81"/>
      <c r="J173" s="81"/>
      <c r="K173" s="318"/>
      <c r="L173" s="81"/>
      <c r="M173" s="298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1:26" ht="13.5" customHeight="1">
      <c r="A174" s="81"/>
      <c r="G174" s="81"/>
      <c r="H174" s="81"/>
      <c r="I174" s="81"/>
      <c r="J174" s="81"/>
      <c r="K174" s="318"/>
      <c r="L174" s="81"/>
      <c r="M174" s="298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1:26" ht="13.5" customHeight="1">
      <c r="A175" s="81"/>
      <c r="G175" s="81"/>
      <c r="H175" s="81"/>
      <c r="I175" s="81"/>
      <c r="J175" s="81"/>
      <c r="K175" s="318"/>
      <c r="L175" s="81"/>
      <c r="M175" s="298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1:26" ht="13.5" customHeight="1">
      <c r="A176" s="81"/>
      <c r="G176" s="81"/>
      <c r="H176" s="81"/>
      <c r="I176" s="81"/>
      <c r="J176" s="81"/>
      <c r="K176" s="318"/>
      <c r="L176" s="81"/>
      <c r="M176" s="298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1:26" ht="13.5" customHeight="1">
      <c r="A177" s="81"/>
      <c r="G177" s="81"/>
      <c r="H177" s="81"/>
      <c r="I177" s="81"/>
      <c r="J177" s="81"/>
      <c r="K177" s="318"/>
      <c r="L177" s="81"/>
      <c r="M177" s="298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1:26" ht="13.5" customHeight="1">
      <c r="A178" s="81"/>
      <c r="G178" s="81"/>
      <c r="H178" s="81"/>
      <c r="I178" s="81"/>
      <c r="J178" s="81"/>
      <c r="K178" s="318"/>
      <c r="L178" s="81"/>
      <c r="M178" s="298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1:26" ht="13.5" customHeight="1">
      <c r="A179" s="81"/>
      <c r="G179" s="81"/>
      <c r="H179" s="81"/>
      <c r="I179" s="81"/>
      <c r="J179" s="81"/>
      <c r="K179" s="318"/>
      <c r="L179" s="81"/>
      <c r="M179" s="298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1:26" ht="13.5" customHeight="1">
      <c r="A180" s="81"/>
      <c r="G180" s="81"/>
      <c r="H180" s="81"/>
      <c r="I180" s="81"/>
      <c r="J180" s="81"/>
      <c r="K180" s="318"/>
      <c r="L180" s="81"/>
      <c r="M180" s="298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1:26" ht="13.5" customHeight="1">
      <c r="A181" s="81"/>
      <c r="G181" s="81"/>
      <c r="H181" s="81"/>
      <c r="I181" s="81"/>
      <c r="J181" s="81"/>
      <c r="K181" s="318"/>
      <c r="L181" s="81"/>
      <c r="M181" s="298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1:26" ht="13.5" customHeight="1">
      <c r="A182" s="81"/>
      <c r="G182" s="81"/>
      <c r="H182" s="81"/>
      <c r="I182" s="81"/>
      <c r="J182" s="81"/>
      <c r="K182" s="318"/>
      <c r="L182" s="81"/>
      <c r="M182" s="298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1:26" ht="13.5" customHeight="1">
      <c r="A183" s="81"/>
      <c r="G183" s="81"/>
      <c r="H183" s="81"/>
      <c r="I183" s="81"/>
      <c r="J183" s="81"/>
      <c r="K183" s="318"/>
      <c r="L183" s="81"/>
      <c r="M183" s="298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1:26" ht="13.5" customHeight="1">
      <c r="A184" s="81"/>
      <c r="G184" s="81"/>
      <c r="H184" s="81"/>
      <c r="I184" s="81"/>
      <c r="J184" s="81"/>
      <c r="K184" s="318"/>
      <c r="L184" s="81"/>
      <c r="M184" s="298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1:26" ht="13.5" customHeight="1">
      <c r="A185" s="81"/>
      <c r="G185" s="81"/>
      <c r="H185" s="81"/>
      <c r="I185" s="81"/>
      <c r="J185" s="81"/>
      <c r="K185" s="318"/>
      <c r="L185" s="81"/>
      <c r="M185" s="298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ht="13.5" customHeight="1">
      <c r="A186" s="81"/>
      <c r="G186" s="81"/>
      <c r="H186" s="81"/>
      <c r="I186" s="81"/>
      <c r="J186" s="81"/>
      <c r="K186" s="318"/>
      <c r="L186" s="81"/>
      <c r="M186" s="298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1:26" ht="13.5" customHeight="1">
      <c r="A187" s="81"/>
      <c r="G187" s="81"/>
      <c r="H187" s="81"/>
      <c r="I187" s="81"/>
      <c r="J187" s="81"/>
      <c r="K187" s="318"/>
      <c r="L187" s="81"/>
      <c r="M187" s="298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1:26" ht="13.5" customHeight="1">
      <c r="A188" s="81"/>
      <c r="G188" s="81"/>
      <c r="H188" s="81"/>
      <c r="I188" s="81"/>
      <c r="J188" s="81"/>
      <c r="K188" s="318"/>
      <c r="L188" s="81"/>
      <c r="M188" s="298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1:26" ht="13.5" customHeight="1">
      <c r="A189" s="81"/>
      <c r="G189" s="81"/>
      <c r="H189" s="81"/>
      <c r="I189" s="81"/>
      <c r="J189" s="81"/>
      <c r="K189" s="318"/>
      <c r="L189" s="81"/>
      <c r="M189" s="298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ht="13.5" customHeight="1">
      <c r="A190" s="81"/>
      <c r="G190" s="81"/>
      <c r="H190" s="81"/>
      <c r="I190" s="81"/>
      <c r="J190" s="81"/>
      <c r="K190" s="318"/>
      <c r="L190" s="81"/>
      <c r="M190" s="298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1:26" ht="13.5" customHeight="1">
      <c r="A191" s="81"/>
      <c r="G191" s="81"/>
      <c r="H191" s="81"/>
      <c r="I191" s="81"/>
      <c r="J191" s="81"/>
      <c r="K191" s="318"/>
      <c r="L191" s="81"/>
      <c r="M191" s="298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ht="13.5" customHeight="1">
      <c r="A192" s="81"/>
      <c r="G192" s="81"/>
      <c r="H192" s="81"/>
      <c r="I192" s="81"/>
      <c r="J192" s="81"/>
      <c r="K192" s="318"/>
      <c r="L192" s="81"/>
      <c r="M192" s="298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ht="13.5" customHeight="1">
      <c r="A193" s="81"/>
      <c r="G193" s="81"/>
      <c r="H193" s="81"/>
      <c r="I193" s="81"/>
      <c r="J193" s="81"/>
      <c r="K193" s="318"/>
      <c r="L193" s="81"/>
      <c r="M193" s="298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1:26" ht="13.5" customHeight="1">
      <c r="A194" s="81"/>
      <c r="G194" s="81"/>
      <c r="H194" s="81"/>
      <c r="I194" s="81"/>
      <c r="J194" s="81"/>
      <c r="K194" s="318"/>
      <c r="L194" s="81"/>
      <c r="M194" s="298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1:26" ht="13.5" customHeight="1">
      <c r="A195" s="81"/>
      <c r="G195" s="81"/>
      <c r="H195" s="81"/>
      <c r="I195" s="81"/>
      <c r="J195" s="81"/>
      <c r="K195" s="318"/>
      <c r="L195" s="81"/>
      <c r="M195" s="298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1:26" ht="13.5" customHeight="1">
      <c r="A196" s="81"/>
      <c r="G196" s="81"/>
      <c r="H196" s="81"/>
      <c r="I196" s="81"/>
      <c r="J196" s="81"/>
      <c r="K196" s="318"/>
      <c r="L196" s="81"/>
      <c r="M196" s="298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1:26" ht="13.5" customHeight="1">
      <c r="A197" s="81"/>
      <c r="G197" s="81"/>
      <c r="H197" s="81"/>
      <c r="I197" s="81"/>
      <c r="J197" s="81"/>
      <c r="K197" s="318"/>
      <c r="L197" s="81"/>
      <c r="M197" s="298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1:26" ht="13.5" customHeight="1">
      <c r="A198" s="81"/>
      <c r="G198" s="81"/>
      <c r="H198" s="81"/>
      <c r="I198" s="81"/>
      <c r="J198" s="81"/>
      <c r="K198" s="318"/>
      <c r="L198" s="81"/>
      <c r="M198" s="298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1:26" ht="13.5" customHeight="1">
      <c r="A199" s="81"/>
      <c r="G199" s="81"/>
      <c r="H199" s="81"/>
      <c r="I199" s="81"/>
      <c r="J199" s="81"/>
      <c r="K199" s="318"/>
      <c r="L199" s="81"/>
      <c r="M199" s="298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1:26" ht="13.5" customHeight="1">
      <c r="A200" s="81"/>
      <c r="G200" s="81"/>
      <c r="H200" s="81"/>
      <c r="I200" s="81"/>
      <c r="J200" s="81"/>
      <c r="K200" s="318"/>
      <c r="L200" s="81"/>
      <c r="M200" s="298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1:26" ht="13.5" customHeight="1">
      <c r="A201" s="81"/>
      <c r="G201" s="81"/>
      <c r="H201" s="81"/>
      <c r="I201" s="81"/>
      <c r="J201" s="81"/>
      <c r="K201" s="318"/>
      <c r="L201" s="81"/>
      <c r="M201" s="298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6" ht="13.5" customHeight="1">
      <c r="A202" s="81"/>
      <c r="G202" s="81"/>
      <c r="H202" s="81"/>
      <c r="I202" s="81"/>
      <c r="J202" s="81"/>
      <c r="K202" s="318"/>
      <c r="L202" s="81"/>
      <c r="M202" s="298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1:26" ht="13.5" customHeight="1">
      <c r="A203" s="81"/>
      <c r="G203" s="81"/>
      <c r="H203" s="81"/>
      <c r="I203" s="81"/>
      <c r="J203" s="81"/>
      <c r="K203" s="318"/>
      <c r="L203" s="81"/>
      <c r="M203" s="298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1:26" ht="13.5" customHeight="1">
      <c r="A204" s="81"/>
      <c r="G204" s="81"/>
      <c r="H204" s="81"/>
      <c r="I204" s="81"/>
      <c r="J204" s="81"/>
      <c r="K204" s="318"/>
      <c r="L204" s="81"/>
      <c r="M204" s="298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1:26" ht="13.5" customHeight="1">
      <c r="A205" s="81"/>
      <c r="G205" s="81"/>
      <c r="H205" s="81"/>
      <c r="I205" s="81"/>
      <c r="J205" s="81"/>
      <c r="K205" s="318"/>
      <c r="L205" s="81"/>
      <c r="M205" s="298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1:26" ht="13.5" customHeight="1">
      <c r="A206" s="81"/>
      <c r="G206" s="81"/>
      <c r="H206" s="81"/>
      <c r="I206" s="81"/>
      <c r="J206" s="81"/>
      <c r="K206" s="318"/>
      <c r="L206" s="81"/>
      <c r="M206" s="298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1:26" ht="13.5" customHeight="1">
      <c r="A207" s="81"/>
      <c r="G207" s="81"/>
      <c r="H207" s="81"/>
      <c r="I207" s="81"/>
      <c r="J207" s="81"/>
      <c r="K207" s="318"/>
      <c r="L207" s="81"/>
      <c r="M207" s="298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1:26" ht="13.5" customHeight="1">
      <c r="A208" s="81"/>
      <c r="G208" s="81"/>
      <c r="H208" s="81"/>
      <c r="I208" s="81"/>
      <c r="J208" s="81"/>
      <c r="K208" s="318"/>
      <c r="L208" s="81"/>
      <c r="M208" s="298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1:26" ht="13.5" customHeight="1">
      <c r="A209" s="81"/>
      <c r="G209" s="81"/>
      <c r="H209" s="81"/>
      <c r="I209" s="81"/>
      <c r="J209" s="81"/>
      <c r="K209" s="318"/>
      <c r="L209" s="81"/>
      <c r="M209" s="298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1:26" ht="13.5" customHeight="1">
      <c r="A210" s="81"/>
      <c r="G210" s="81"/>
      <c r="H210" s="81"/>
      <c r="I210" s="81"/>
      <c r="J210" s="81"/>
      <c r="K210" s="318"/>
      <c r="L210" s="81"/>
      <c r="M210" s="298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1:26" ht="13.5" customHeight="1">
      <c r="A211" s="81"/>
      <c r="G211" s="81"/>
      <c r="H211" s="81"/>
      <c r="I211" s="81"/>
      <c r="J211" s="81"/>
      <c r="K211" s="318"/>
      <c r="L211" s="81"/>
      <c r="M211" s="298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1:26" ht="13.5" customHeight="1">
      <c r="A212" s="81"/>
      <c r="G212" s="81"/>
      <c r="H212" s="81"/>
      <c r="I212" s="81"/>
      <c r="J212" s="81"/>
      <c r="K212" s="318"/>
      <c r="L212" s="81"/>
      <c r="M212" s="298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6" ht="13.5" customHeight="1">
      <c r="A213" s="81"/>
      <c r="G213" s="81"/>
      <c r="H213" s="81"/>
      <c r="I213" s="81"/>
      <c r="J213" s="81"/>
      <c r="K213" s="318"/>
      <c r="L213" s="81"/>
      <c r="M213" s="298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1:26" ht="13.5" customHeight="1">
      <c r="A214" s="81"/>
      <c r="G214" s="81"/>
      <c r="H214" s="81"/>
      <c r="I214" s="81"/>
      <c r="J214" s="81"/>
      <c r="K214" s="318"/>
      <c r="L214" s="81"/>
      <c r="M214" s="298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1:26" ht="13.5" customHeight="1">
      <c r="A215" s="81"/>
      <c r="G215" s="81"/>
      <c r="H215" s="81"/>
      <c r="I215" s="81"/>
      <c r="J215" s="81"/>
      <c r="K215" s="318"/>
      <c r="L215" s="81"/>
      <c r="M215" s="298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1:26" ht="13.5" customHeight="1">
      <c r="A216" s="81"/>
      <c r="G216" s="81"/>
      <c r="H216" s="81"/>
      <c r="I216" s="81"/>
      <c r="J216" s="81"/>
      <c r="K216" s="318"/>
      <c r="L216" s="81"/>
      <c r="M216" s="298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1:26" ht="13.5" customHeight="1">
      <c r="A217" s="81"/>
      <c r="G217" s="81"/>
      <c r="H217" s="81"/>
      <c r="I217" s="81"/>
      <c r="J217" s="81"/>
      <c r="K217" s="318"/>
      <c r="L217" s="81"/>
      <c r="M217" s="298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1:26" ht="13.5" customHeight="1">
      <c r="A218" s="81"/>
      <c r="G218" s="81"/>
      <c r="H218" s="81"/>
      <c r="I218" s="81"/>
      <c r="J218" s="81"/>
      <c r="K218" s="318"/>
      <c r="L218" s="81"/>
      <c r="M218" s="298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1:26" ht="13.5" customHeight="1">
      <c r="A219" s="81"/>
      <c r="G219" s="81"/>
      <c r="H219" s="81"/>
      <c r="I219" s="81"/>
      <c r="J219" s="81"/>
      <c r="K219" s="318"/>
      <c r="L219" s="81"/>
      <c r="M219" s="298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1:26" ht="13.5" customHeight="1">
      <c r="A220" s="81"/>
      <c r="G220" s="81"/>
      <c r="H220" s="81"/>
      <c r="I220" s="81"/>
      <c r="J220" s="81"/>
      <c r="K220" s="318"/>
      <c r="L220" s="81"/>
      <c r="M220" s="298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6" ht="13.5" customHeight="1">
      <c r="A221" s="81"/>
      <c r="G221" s="81"/>
      <c r="H221" s="81"/>
      <c r="I221" s="81"/>
      <c r="J221" s="81"/>
      <c r="K221" s="318"/>
      <c r="L221" s="81"/>
      <c r="M221" s="298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spans="1:26" ht="13.5" customHeight="1">
      <c r="A222" s="81"/>
      <c r="G222" s="81"/>
      <c r="H222" s="81"/>
      <c r="I222" s="81"/>
      <c r="J222" s="81"/>
      <c r="K222" s="318"/>
      <c r="L222" s="81"/>
      <c r="M222" s="298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spans="1:26" ht="13.5" customHeight="1">
      <c r="A223" s="81"/>
      <c r="G223" s="81"/>
      <c r="H223" s="81"/>
      <c r="I223" s="81"/>
      <c r="J223" s="81"/>
      <c r="K223" s="318"/>
      <c r="L223" s="81"/>
      <c r="M223" s="298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spans="1:26" ht="13.5" customHeight="1">
      <c r="A224" s="81"/>
      <c r="G224" s="81"/>
      <c r="H224" s="81"/>
      <c r="I224" s="81"/>
      <c r="J224" s="81"/>
      <c r="K224" s="318"/>
      <c r="L224" s="81"/>
      <c r="M224" s="298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spans="1:26" ht="13.5" customHeight="1">
      <c r="A225" s="81"/>
      <c r="G225" s="81"/>
      <c r="H225" s="81"/>
      <c r="I225" s="81"/>
      <c r="J225" s="81"/>
      <c r="K225" s="318"/>
      <c r="L225" s="81"/>
      <c r="M225" s="298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spans="1:26" ht="13.5" customHeight="1">
      <c r="A226" s="81"/>
      <c r="G226" s="81"/>
      <c r="H226" s="81"/>
      <c r="I226" s="81"/>
      <c r="J226" s="81"/>
      <c r="K226" s="318"/>
      <c r="L226" s="81"/>
      <c r="M226" s="298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spans="1:26" ht="13.5" customHeight="1">
      <c r="A227" s="81"/>
      <c r="G227" s="81"/>
      <c r="H227" s="81"/>
      <c r="I227" s="81"/>
      <c r="J227" s="81"/>
      <c r="K227" s="318"/>
      <c r="L227" s="81"/>
      <c r="M227" s="298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spans="1:26" ht="13.5" customHeight="1">
      <c r="A228" s="81"/>
      <c r="G228" s="81"/>
      <c r="H228" s="81"/>
      <c r="I228" s="81"/>
      <c r="J228" s="81"/>
      <c r="K228" s="318"/>
      <c r="L228" s="81"/>
      <c r="M228" s="298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spans="1:26" ht="13.5" customHeight="1">
      <c r="A229" s="81"/>
      <c r="G229" s="81"/>
      <c r="H229" s="81"/>
      <c r="I229" s="81"/>
      <c r="J229" s="81"/>
      <c r="K229" s="318"/>
      <c r="L229" s="81"/>
      <c r="M229" s="298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spans="1:26" ht="13.5" customHeight="1">
      <c r="A230" s="81"/>
      <c r="G230" s="81"/>
      <c r="H230" s="81"/>
      <c r="I230" s="81"/>
      <c r="J230" s="81"/>
      <c r="K230" s="318"/>
      <c r="L230" s="81"/>
      <c r="M230" s="298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1:26" ht="13.5" customHeight="1">
      <c r="A231" s="81"/>
      <c r="G231" s="81"/>
      <c r="H231" s="81"/>
      <c r="I231" s="81"/>
      <c r="J231" s="81"/>
      <c r="K231" s="318"/>
      <c r="L231" s="81"/>
      <c r="M231" s="298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spans="1:26" ht="13.5" customHeight="1">
      <c r="A232" s="81"/>
      <c r="G232" s="81"/>
      <c r="H232" s="81"/>
      <c r="I232" s="81"/>
      <c r="J232" s="81"/>
      <c r="K232" s="318"/>
      <c r="L232" s="81"/>
      <c r="M232" s="298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spans="1:26" ht="13.5" customHeight="1">
      <c r="A233" s="81"/>
      <c r="G233" s="81"/>
      <c r="H233" s="81"/>
      <c r="I233" s="81"/>
      <c r="J233" s="81"/>
      <c r="K233" s="318"/>
      <c r="L233" s="81"/>
      <c r="M233" s="298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spans="1:26" ht="13.5" customHeight="1">
      <c r="A234" s="81"/>
      <c r="G234" s="81"/>
      <c r="H234" s="81"/>
      <c r="I234" s="81"/>
      <c r="J234" s="81"/>
      <c r="K234" s="318"/>
      <c r="L234" s="81"/>
      <c r="M234" s="298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spans="1:26" ht="13.5" customHeight="1">
      <c r="A235" s="81"/>
      <c r="G235" s="81"/>
      <c r="H235" s="81"/>
      <c r="I235" s="81"/>
      <c r="J235" s="81"/>
      <c r="K235" s="318"/>
      <c r="L235" s="81"/>
      <c r="M235" s="298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spans="1:26" ht="13.5" customHeight="1">
      <c r="A236" s="81"/>
      <c r="G236" s="81"/>
      <c r="H236" s="81"/>
      <c r="I236" s="81"/>
      <c r="J236" s="81"/>
      <c r="K236" s="318"/>
      <c r="L236" s="81"/>
      <c r="M236" s="298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spans="1:26" ht="13.5" customHeight="1">
      <c r="A237" s="81"/>
      <c r="G237" s="81"/>
      <c r="H237" s="81"/>
      <c r="I237" s="81"/>
      <c r="J237" s="81"/>
      <c r="K237" s="318"/>
      <c r="L237" s="81"/>
      <c r="M237" s="298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spans="1:26" ht="13.5" customHeight="1">
      <c r="A238" s="81"/>
      <c r="G238" s="81"/>
      <c r="H238" s="81"/>
      <c r="I238" s="81"/>
      <c r="J238" s="81"/>
      <c r="K238" s="318"/>
      <c r="L238" s="81"/>
      <c r="M238" s="298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spans="1:26" ht="13.5" customHeight="1">
      <c r="A239" s="81"/>
      <c r="G239" s="81"/>
      <c r="H239" s="81"/>
      <c r="I239" s="81"/>
      <c r="J239" s="81"/>
      <c r="K239" s="318"/>
      <c r="L239" s="81"/>
      <c r="M239" s="298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spans="1:26" ht="13.5" customHeight="1">
      <c r="A240" s="81"/>
      <c r="G240" s="81"/>
      <c r="H240" s="81"/>
      <c r="I240" s="81"/>
      <c r="J240" s="81"/>
      <c r="K240" s="318"/>
      <c r="L240" s="81"/>
      <c r="M240" s="298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spans="1:26" ht="13.5" customHeight="1">
      <c r="A241" s="81"/>
      <c r="G241" s="81"/>
      <c r="H241" s="81"/>
      <c r="I241" s="81"/>
      <c r="J241" s="81"/>
      <c r="K241" s="318"/>
      <c r="L241" s="81"/>
      <c r="M241" s="298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spans="1:26" ht="13.5" customHeight="1">
      <c r="A242" s="81"/>
      <c r="G242" s="81"/>
      <c r="H242" s="81"/>
      <c r="I242" s="81"/>
      <c r="J242" s="81"/>
      <c r="K242" s="318"/>
      <c r="L242" s="81"/>
      <c r="M242" s="298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spans="1:26" ht="13.5" customHeight="1">
      <c r="A243" s="81"/>
      <c r="G243" s="81"/>
      <c r="H243" s="81"/>
      <c r="I243" s="81"/>
      <c r="J243" s="81"/>
      <c r="K243" s="318"/>
      <c r="L243" s="81"/>
      <c r="M243" s="298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spans="1:26" ht="13.5" customHeight="1">
      <c r="A244" s="81"/>
      <c r="G244" s="81"/>
      <c r="H244" s="81"/>
      <c r="I244" s="81"/>
      <c r="J244" s="81"/>
      <c r="K244" s="318"/>
      <c r="L244" s="81"/>
      <c r="M244" s="298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spans="1:26" ht="13.5" customHeight="1">
      <c r="A245" s="81"/>
      <c r="G245" s="81"/>
      <c r="H245" s="81"/>
      <c r="I245" s="81"/>
      <c r="J245" s="81"/>
      <c r="K245" s="318"/>
      <c r="L245" s="81"/>
      <c r="M245" s="298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spans="1:26" ht="13.5" customHeight="1">
      <c r="A246" s="81"/>
      <c r="G246" s="81"/>
      <c r="H246" s="81"/>
      <c r="I246" s="81"/>
      <c r="J246" s="81"/>
      <c r="K246" s="318"/>
      <c r="L246" s="81"/>
      <c r="M246" s="298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spans="1:26" ht="13.5" customHeight="1">
      <c r="A247" s="81"/>
      <c r="G247" s="81"/>
      <c r="H247" s="81"/>
      <c r="I247" s="81"/>
      <c r="J247" s="81"/>
      <c r="K247" s="318"/>
      <c r="L247" s="81"/>
      <c r="M247" s="298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spans="1:26" ht="13.5" customHeight="1">
      <c r="A248" s="81"/>
      <c r="G248" s="81"/>
      <c r="H248" s="81"/>
      <c r="I248" s="81"/>
      <c r="J248" s="81"/>
      <c r="K248" s="318"/>
      <c r="L248" s="81"/>
      <c r="M248" s="298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spans="1:26" ht="13.5" customHeight="1">
      <c r="A249" s="81"/>
      <c r="G249" s="81"/>
      <c r="H249" s="81"/>
      <c r="I249" s="81"/>
      <c r="J249" s="81"/>
      <c r="K249" s="318"/>
      <c r="L249" s="81"/>
      <c r="M249" s="298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spans="1:26" ht="13.5" customHeight="1">
      <c r="A250" s="81"/>
      <c r="G250" s="81"/>
      <c r="H250" s="81"/>
      <c r="I250" s="81"/>
      <c r="J250" s="81"/>
      <c r="K250" s="318"/>
      <c r="L250" s="81"/>
      <c r="M250" s="298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spans="1:26" ht="13.5" customHeight="1">
      <c r="A251" s="81"/>
      <c r="G251" s="81"/>
      <c r="H251" s="81"/>
      <c r="I251" s="81"/>
      <c r="J251" s="81"/>
      <c r="K251" s="318"/>
      <c r="L251" s="81"/>
      <c r="M251" s="298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spans="1:26" ht="13.5" customHeight="1">
      <c r="A252" s="81"/>
      <c r="G252" s="81"/>
      <c r="H252" s="81"/>
      <c r="I252" s="81"/>
      <c r="J252" s="81"/>
      <c r="K252" s="318"/>
      <c r="L252" s="81"/>
      <c r="M252" s="298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spans="1:26" ht="13.5" customHeight="1">
      <c r="A253" s="81"/>
      <c r="G253" s="81"/>
      <c r="H253" s="81"/>
      <c r="I253" s="81"/>
      <c r="J253" s="81"/>
      <c r="K253" s="318"/>
      <c r="L253" s="81"/>
      <c r="M253" s="298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spans="1:26" ht="13.5" customHeight="1">
      <c r="A254" s="81"/>
      <c r="G254" s="81"/>
      <c r="H254" s="81"/>
      <c r="I254" s="81"/>
      <c r="J254" s="81"/>
      <c r="K254" s="318"/>
      <c r="L254" s="81"/>
      <c r="M254" s="298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spans="1:26" ht="13.5" customHeight="1">
      <c r="A255" s="81"/>
      <c r="G255" s="81"/>
      <c r="H255" s="81"/>
      <c r="I255" s="81"/>
      <c r="J255" s="81"/>
      <c r="K255" s="318"/>
      <c r="L255" s="81"/>
      <c r="M255" s="298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spans="1:26" ht="13.5" customHeight="1">
      <c r="A256" s="81"/>
      <c r="G256" s="81"/>
      <c r="H256" s="81"/>
      <c r="I256" s="81"/>
      <c r="J256" s="81"/>
      <c r="K256" s="318"/>
      <c r="L256" s="81"/>
      <c r="M256" s="298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spans="1:26" ht="13.5" customHeight="1">
      <c r="A257" s="81"/>
      <c r="G257" s="81"/>
      <c r="H257" s="81"/>
      <c r="I257" s="81"/>
      <c r="J257" s="81"/>
      <c r="K257" s="318"/>
      <c r="L257" s="81"/>
      <c r="M257" s="298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spans="1:26" ht="13.5" customHeight="1">
      <c r="A258" s="81"/>
      <c r="G258" s="81"/>
      <c r="H258" s="81"/>
      <c r="I258" s="81"/>
      <c r="J258" s="81"/>
      <c r="K258" s="318"/>
      <c r="L258" s="81"/>
      <c r="M258" s="298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spans="1:26" ht="13.5" customHeight="1">
      <c r="A259" s="81"/>
      <c r="G259" s="81"/>
      <c r="H259" s="81"/>
      <c r="I259" s="81"/>
      <c r="J259" s="81"/>
      <c r="K259" s="318"/>
      <c r="L259" s="81"/>
      <c r="M259" s="298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spans="1:26" ht="13.5" customHeight="1">
      <c r="A260" s="81"/>
      <c r="G260" s="81"/>
      <c r="H260" s="81"/>
      <c r="I260" s="81"/>
      <c r="J260" s="81"/>
      <c r="K260" s="318"/>
      <c r="L260" s="81"/>
      <c r="M260" s="298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spans="1:26" ht="13.5" customHeight="1">
      <c r="A261" s="81"/>
      <c r="G261" s="81"/>
      <c r="H261" s="81"/>
      <c r="I261" s="81"/>
      <c r="J261" s="81"/>
      <c r="K261" s="318"/>
      <c r="L261" s="81"/>
      <c r="M261" s="298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spans="1:26" ht="13.5" customHeight="1">
      <c r="A262" s="81"/>
      <c r="G262" s="81"/>
      <c r="H262" s="81"/>
      <c r="I262" s="81"/>
      <c r="J262" s="81"/>
      <c r="K262" s="318"/>
      <c r="L262" s="81"/>
      <c r="M262" s="298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spans="1:26" ht="13.5" customHeight="1">
      <c r="A263" s="81"/>
      <c r="G263" s="81"/>
      <c r="H263" s="81"/>
      <c r="I263" s="81"/>
      <c r="J263" s="81"/>
      <c r="K263" s="318"/>
      <c r="L263" s="81"/>
      <c r="M263" s="298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spans="1:26" ht="13.5" customHeight="1">
      <c r="A264" s="81"/>
      <c r="G264" s="81"/>
      <c r="H264" s="81"/>
      <c r="I264" s="81"/>
      <c r="J264" s="81"/>
      <c r="K264" s="318"/>
      <c r="L264" s="81"/>
      <c r="M264" s="298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spans="1:26" ht="13.5" customHeight="1">
      <c r="A265" s="81"/>
      <c r="G265" s="81"/>
      <c r="H265" s="81"/>
      <c r="I265" s="81"/>
      <c r="J265" s="81"/>
      <c r="K265" s="318"/>
      <c r="L265" s="81"/>
      <c r="M265" s="298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spans="1:26" ht="13.5" customHeight="1">
      <c r="A266" s="81"/>
      <c r="G266" s="81"/>
      <c r="H266" s="81"/>
      <c r="I266" s="81"/>
      <c r="J266" s="81"/>
      <c r="K266" s="318"/>
      <c r="L266" s="81"/>
      <c r="M266" s="298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spans="1:26" ht="13.5" customHeight="1">
      <c r="A267" s="81"/>
      <c r="G267" s="81"/>
      <c r="H267" s="81"/>
      <c r="I267" s="81"/>
      <c r="J267" s="81"/>
      <c r="K267" s="318"/>
      <c r="L267" s="81"/>
      <c r="M267" s="298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spans="1:26" ht="13.5" customHeight="1">
      <c r="A268" s="81"/>
      <c r="G268" s="81"/>
      <c r="H268" s="81"/>
      <c r="I268" s="81"/>
      <c r="J268" s="81"/>
      <c r="K268" s="318"/>
      <c r="L268" s="81"/>
      <c r="M268" s="298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spans="1:26" ht="13.5" customHeight="1">
      <c r="A269" s="81"/>
      <c r="G269" s="81"/>
      <c r="H269" s="81"/>
      <c r="I269" s="81"/>
      <c r="J269" s="81"/>
      <c r="K269" s="318"/>
      <c r="L269" s="81"/>
      <c r="M269" s="298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spans="1:26" ht="13.5" customHeight="1">
      <c r="A270" s="81"/>
      <c r="G270" s="81"/>
      <c r="H270" s="81"/>
      <c r="I270" s="81"/>
      <c r="J270" s="81"/>
      <c r="K270" s="318"/>
      <c r="L270" s="81"/>
      <c r="M270" s="298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spans="1:26" ht="13.5" customHeight="1">
      <c r="A271" s="81"/>
      <c r="G271" s="81"/>
      <c r="H271" s="81"/>
      <c r="I271" s="81"/>
      <c r="J271" s="81"/>
      <c r="K271" s="318"/>
      <c r="L271" s="81"/>
      <c r="M271" s="298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spans="1:26" ht="13.5" customHeight="1">
      <c r="A272" s="81"/>
      <c r="G272" s="81"/>
      <c r="H272" s="81"/>
      <c r="I272" s="81"/>
      <c r="J272" s="81"/>
      <c r="K272" s="318"/>
      <c r="L272" s="81"/>
      <c r="M272" s="298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spans="1:26" ht="13.5" customHeight="1">
      <c r="A273" s="81"/>
      <c r="G273" s="81"/>
      <c r="H273" s="81"/>
      <c r="I273" s="81"/>
      <c r="J273" s="81"/>
      <c r="K273" s="318"/>
      <c r="L273" s="81"/>
      <c r="M273" s="298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spans="1:26" ht="13.5" customHeight="1">
      <c r="A274" s="81"/>
      <c r="G274" s="81"/>
      <c r="H274" s="81"/>
      <c r="I274" s="81"/>
      <c r="J274" s="81"/>
      <c r="K274" s="318"/>
      <c r="L274" s="81"/>
      <c r="M274" s="298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spans="1:26" ht="13.5" customHeight="1">
      <c r="A275" s="81"/>
      <c r="G275" s="81"/>
      <c r="H275" s="81"/>
      <c r="I275" s="81"/>
      <c r="J275" s="81"/>
      <c r="K275" s="318"/>
      <c r="L275" s="81"/>
      <c r="M275" s="298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spans="1:26" ht="13.5" customHeight="1">
      <c r="A276" s="81"/>
      <c r="G276" s="81"/>
      <c r="H276" s="81"/>
      <c r="I276" s="81"/>
      <c r="J276" s="81"/>
      <c r="K276" s="318"/>
      <c r="L276" s="81"/>
      <c r="M276" s="298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spans="1:26" ht="13.5" customHeight="1">
      <c r="A277" s="81"/>
      <c r="G277" s="81"/>
      <c r="H277" s="81"/>
      <c r="I277" s="81"/>
      <c r="J277" s="81"/>
      <c r="K277" s="318"/>
      <c r="L277" s="81"/>
      <c r="M277" s="298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spans="1:26" ht="13.5" customHeight="1">
      <c r="A278" s="81"/>
      <c r="G278" s="81"/>
      <c r="H278" s="81"/>
      <c r="I278" s="81"/>
      <c r="J278" s="81"/>
      <c r="K278" s="318"/>
      <c r="L278" s="81"/>
      <c r="M278" s="298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spans="1:26" ht="13.5" customHeight="1">
      <c r="A279" s="81"/>
      <c r="G279" s="81"/>
      <c r="H279" s="81"/>
      <c r="I279" s="81"/>
      <c r="J279" s="81"/>
      <c r="K279" s="318"/>
      <c r="L279" s="81"/>
      <c r="M279" s="298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spans="1:26" ht="13.5" customHeight="1">
      <c r="A280" s="81"/>
      <c r="G280" s="81"/>
      <c r="H280" s="81"/>
      <c r="I280" s="81"/>
      <c r="J280" s="81"/>
      <c r="K280" s="318"/>
      <c r="L280" s="81"/>
      <c r="M280" s="298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spans="1:26" ht="13.5" customHeight="1">
      <c r="A281" s="81"/>
      <c r="G281" s="81"/>
      <c r="H281" s="81"/>
      <c r="I281" s="81"/>
      <c r="J281" s="81"/>
      <c r="K281" s="318"/>
      <c r="L281" s="81"/>
      <c r="M281" s="298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spans="1:26" ht="13.5" customHeight="1">
      <c r="A282" s="81"/>
      <c r="G282" s="81"/>
      <c r="H282" s="81"/>
      <c r="I282" s="81"/>
      <c r="J282" s="81"/>
      <c r="K282" s="318"/>
      <c r="L282" s="81"/>
      <c r="M282" s="298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spans="1:26" ht="13.5" customHeight="1">
      <c r="A283" s="81"/>
      <c r="G283" s="81"/>
      <c r="H283" s="81"/>
      <c r="I283" s="81"/>
      <c r="J283" s="81"/>
      <c r="K283" s="318"/>
      <c r="L283" s="81"/>
      <c r="M283" s="298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spans="1:26" ht="13.5" customHeight="1">
      <c r="A284" s="81"/>
      <c r="G284" s="81"/>
      <c r="H284" s="81"/>
      <c r="I284" s="81"/>
      <c r="J284" s="81"/>
      <c r="K284" s="318"/>
      <c r="L284" s="81"/>
      <c r="M284" s="298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spans="1:26" ht="13.5" customHeight="1">
      <c r="A285" s="81"/>
      <c r="G285" s="81"/>
      <c r="H285" s="81"/>
      <c r="I285" s="81"/>
      <c r="J285" s="81"/>
      <c r="K285" s="318"/>
      <c r="L285" s="81"/>
      <c r="M285" s="298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spans="1:26" ht="13.5" customHeight="1">
      <c r="A286" s="81"/>
      <c r="G286" s="81"/>
      <c r="H286" s="81"/>
      <c r="I286" s="81"/>
      <c r="J286" s="81"/>
      <c r="K286" s="318"/>
      <c r="L286" s="81"/>
      <c r="M286" s="298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spans="1:26" ht="13.5" customHeight="1">
      <c r="A287" s="81"/>
      <c r="G287" s="81"/>
      <c r="H287" s="81"/>
      <c r="I287" s="81"/>
      <c r="J287" s="81"/>
      <c r="K287" s="318"/>
      <c r="L287" s="81"/>
      <c r="M287" s="298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spans="1:26" ht="13.5" customHeight="1">
      <c r="A288" s="81"/>
      <c r="G288" s="81"/>
      <c r="H288" s="81"/>
      <c r="I288" s="81"/>
      <c r="J288" s="81"/>
      <c r="K288" s="318"/>
      <c r="L288" s="81"/>
      <c r="M288" s="298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spans="1:26" ht="13.5" customHeight="1">
      <c r="A289" s="81"/>
      <c r="G289" s="81"/>
      <c r="H289" s="81"/>
      <c r="I289" s="81"/>
      <c r="J289" s="81"/>
      <c r="K289" s="318"/>
      <c r="L289" s="81"/>
      <c r="M289" s="298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spans="1:26" ht="13.5" customHeight="1">
      <c r="A290" s="81"/>
      <c r="G290" s="81"/>
      <c r="H290" s="81"/>
      <c r="I290" s="81"/>
      <c r="J290" s="81"/>
      <c r="K290" s="318"/>
      <c r="L290" s="81"/>
      <c r="M290" s="298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spans="1:26" ht="13.5" customHeight="1">
      <c r="A291" s="81"/>
      <c r="G291" s="81"/>
      <c r="H291" s="81"/>
      <c r="I291" s="81"/>
      <c r="J291" s="81"/>
      <c r="K291" s="318"/>
      <c r="L291" s="81"/>
      <c r="M291" s="298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spans="1:26" ht="13.5" customHeight="1">
      <c r="A292" s="81"/>
      <c r="G292" s="81"/>
      <c r="H292" s="81"/>
      <c r="I292" s="81"/>
      <c r="J292" s="81"/>
      <c r="K292" s="318"/>
      <c r="L292" s="81"/>
      <c r="M292" s="298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spans="1:26" ht="13.5" customHeight="1">
      <c r="A293" s="81"/>
      <c r="G293" s="81"/>
      <c r="H293" s="81"/>
      <c r="I293" s="81"/>
      <c r="J293" s="81"/>
      <c r="K293" s="318"/>
      <c r="L293" s="81"/>
      <c r="M293" s="298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spans="1:26" ht="13.5" customHeight="1">
      <c r="A294" s="81"/>
      <c r="G294" s="81"/>
      <c r="H294" s="81"/>
      <c r="I294" s="81"/>
      <c r="J294" s="81"/>
      <c r="K294" s="318"/>
      <c r="L294" s="81"/>
      <c r="M294" s="298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spans="1:26" ht="13.5" customHeight="1">
      <c r="A295" s="81"/>
      <c r="G295" s="81"/>
      <c r="H295" s="81"/>
      <c r="I295" s="81"/>
      <c r="J295" s="81"/>
      <c r="K295" s="318"/>
      <c r="L295" s="81"/>
      <c r="M295" s="298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spans="1:26" ht="13.5" customHeight="1">
      <c r="A296" s="81"/>
      <c r="G296" s="81"/>
      <c r="H296" s="81"/>
      <c r="I296" s="81"/>
      <c r="J296" s="81"/>
      <c r="K296" s="318"/>
      <c r="L296" s="81"/>
      <c r="M296" s="298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spans="1:26" ht="13.5" customHeight="1">
      <c r="A297" s="81"/>
      <c r="G297" s="81"/>
      <c r="H297" s="81"/>
      <c r="I297" s="81"/>
      <c r="J297" s="81"/>
      <c r="K297" s="318"/>
      <c r="L297" s="81"/>
      <c r="M297" s="298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spans="1:26" ht="13.5" customHeight="1">
      <c r="A298" s="81"/>
      <c r="G298" s="81"/>
      <c r="H298" s="81"/>
      <c r="I298" s="81"/>
      <c r="J298" s="81"/>
      <c r="K298" s="318"/>
      <c r="L298" s="81"/>
      <c r="M298" s="298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spans="1:26" ht="13.5" customHeight="1">
      <c r="A299" s="81"/>
      <c r="G299" s="81"/>
      <c r="H299" s="81"/>
      <c r="I299" s="81"/>
      <c r="J299" s="81"/>
      <c r="K299" s="318"/>
      <c r="L299" s="81"/>
      <c r="M299" s="298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spans="1:26" ht="13.5" customHeight="1">
      <c r="A300" s="81"/>
      <c r="G300" s="81"/>
      <c r="H300" s="81"/>
      <c r="I300" s="81"/>
      <c r="J300" s="81"/>
      <c r="K300" s="318"/>
      <c r="L300" s="81"/>
      <c r="M300" s="298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spans="1:26" ht="13.5" customHeight="1">
      <c r="A301" s="81"/>
      <c r="G301" s="81"/>
      <c r="H301" s="81"/>
      <c r="I301" s="81"/>
      <c r="J301" s="81"/>
      <c r="K301" s="318"/>
      <c r="L301" s="81"/>
      <c r="M301" s="298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spans="1:26" ht="13.5" customHeight="1">
      <c r="A302" s="81"/>
      <c r="G302" s="81"/>
      <c r="H302" s="81"/>
      <c r="I302" s="81"/>
      <c r="J302" s="81"/>
      <c r="K302" s="318"/>
      <c r="L302" s="81"/>
      <c r="M302" s="298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spans="1:26" ht="13.5" customHeight="1">
      <c r="A303" s="81"/>
      <c r="G303" s="81"/>
      <c r="H303" s="81"/>
      <c r="I303" s="81"/>
      <c r="J303" s="81"/>
      <c r="K303" s="318"/>
      <c r="L303" s="81"/>
      <c r="M303" s="298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spans="1:26" ht="13.5" customHeight="1">
      <c r="A304" s="81"/>
      <c r="G304" s="81"/>
      <c r="H304" s="81"/>
      <c r="I304" s="81"/>
      <c r="J304" s="81"/>
      <c r="K304" s="318"/>
      <c r="L304" s="81"/>
      <c r="M304" s="298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spans="1:26" ht="13.5" customHeight="1">
      <c r="A305" s="81"/>
      <c r="G305" s="81"/>
      <c r="H305" s="81"/>
      <c r="I305" s="81"/>
      <c r="J305" s="81"/>
      <c r="K305" s="318"/>
      <c r="L305" s="81"/>
      <c r="M305" s="298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spans="1:26" ht="13.5" customHeight="1">
      <c r="A306" s="81"/>
      <c r="G306" s="81"/>
      <c r="H306" s="81"/>
      <c r="I306" s="81"/>
      <c r="J306" s="81"/>
      <c r="K306" s="318"/>
      <c r="L306" s="81"/>
      <c r="M306" s="298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spans="1:26" ht="13.5" customHeight="1">
      <c r="A307" s="81"/>
      <c r="G307" s="81"/>
      <c r="H307" s="81"/>
      <c r="I307" s="81"/>
      <c r="J307" s="81"/>
      <c r="K307" s="318"/>
      <c r="L307" s="81"/>
      <c r="M307" s="298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spans="1:26" ht="13.5" customHeight="1">
      <c r="A308" s="81"/>
      <c r="G308" s="81"/>
      <c r="H308" s="81"/>
      <c r="I308" s="81"/>
      <c r="J308" s="81"/>
      <c r="K308" s="318"/>
      <c r="L308" s="81"/>
      <c r="M308" s="298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spans="1:26" ht="13.5" customHeight="1">
      <c r="A309" s="81"/>
      <c r="G309" s="81"/>
      <c r="H309" s="81"/>
      <c r="I309" s="81"/>
      <c r="J309" s="81"/>
      <c r="K309" s="318"/>
      <c r="L309" s="81"/>
      <c r="M309" s="298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spans="1:26" ht="13.5" customHeight="1">
      <c r="A310" s="81"/>
      <c r="G310" s="81"/>
      <c r="H310" s="81"/>
      <c r="I310" s="81"/>
      <c r="J310" s="81"/>
      <c r="K310" s="318"/>
      <c r="L310" s="81"/>
      <c r="M310" s="298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spans="1:26" ht="13.5" customHeight="1">
      <c r="A311" s="81"/>
      <c r="G311" s="81"/>
      <c r="H311" s="81"/>
      <c r="I311" s="81"/>
      <c r="J311" s="81"/>
      <c r="K311" s="318"/>
      <c r="L311" s="81"/>
      <c r="M311" s="298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spans="1:26" ht="13.5" customHeight="1">
      <c r="A312" s="81"/>
      <c r="G312" s="81"/>
      <c r="H312" s="81"/>
      <c r="I312" s="81"/>
      <c r="J312" s="81"/>
      <c r="K312" s="318"/>
      <c r="L312" s="81"/>
      <c r="M312" s="298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spans="1:26" ht="13.5" customHeight="1">
      <c r="A313" s="81"/>
      <c r="G313" s="81"/>
      <c r="H313" s="81"/>
      <c r="I313" s="81"/>
      <c r="J313" s="81"/>
      <c r="K313" s="318"/>
      <c r="L313" s="81"/>
      <c r="M313" s="298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spans="1:26" ht="13.5" customHeight="1">
      <c r="A314" s="81"/>
      <c r="G314" s="81"/>
      <c r="H314" s="81"/>
      <c r="I314" s="81"/>
      <c r="J314" s="81"/>
      <c r="K314" s="318"/>
      <c r="L314" s="81"/>
      <c r="M314" s="298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spans="1:26" ht="13.5" customHeight="1">
      <c r="A315" s="81"/>
      <c r="G315" s="81"/>
      <c r="H315" s="81"/>
      <c r="I315" s="81"/>
      <c r="J315" s="81"/>
      <c r="K315" s="318"/>
      <c r="L315" s="81"/>
      <c r="M315" s="298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spans="1:26" ht="13.5" customHeight="1">
      <c r="A316" s="81"/>
      <c r="G316" s="81"/>
      <c r="H316" s="81"/>
      <c r="I316" s="81"/>
      <c r="J316" s="81"/>
      <c r="K316" s="318"/>
      <c r="L316" s="81"/>
      <c r="M316" s="298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spans="1:26" ht="13.5" customHeight="1">
      <c r="A317" s="81"/>
      <c r="G317" s="81"/>
      <c r="H317" s="81"/>
      <c r="I317" s="81"/>
      <c r="J317" s="81"/>
      <c r="K317" s="318"/>
      <c r="L317" s="81"/>
      <c r="M317" s="298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spans="1:26" ht="13.5" customHeight="1">
      <c r="A318" s="81"/>
      <c r="G318" s="81"/>
      <c r="H318" s="81"/>
      <c r="I318" s="81"/>
      <c r="J318" s="81"/>
      <c r="K318" s="318"/>
      <c r="L318" s="81"/>
      <c r="M318" s="298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spans="1:26" ht="13.5" customHeight="1">
      <c r="A319" s="81"/>
      <c r="G319" s="81"/>
      <c r="H319" s="81"/>
      <c r="I319" s="81"/>
      <c r="J319" s="81"/>
      <c r="K319" s="318"/>
      <c r="L319" s="81"/>
      <c r="M319" s="298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spans="1:26" ht="13.5" customHeight="1">
      <c r="A320" s="81"/>
      <c r="G320" s="81"/>
      <c r="H320" s="81"/>
      <c r="I320" s="81"/>
      <c r="J320" s="81"/>
      <c r="K320" s="318"/>
      <c r="L320" s="81"/>
      <c r="M320" s="298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spans="1:26" ht="13.5" customHeight="1">
      <c r="A321" s="81"/>
      <c r="G321" s="81"/>
      <c r="H321" s="81"/>
      <c r="I321" s="81"/>
      <c r="J321" s="81"/>
      <c r="K321" s="318"/>
      <c r="L321" s="81"/>
      <c r="M321" s="298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spans="1:26" ht="13.5" customHeight="1">
      <c r="A322" s="81"/>
      <c r="G322" s="81"/>
      <c r="H322" s="81"/>
      <c r="I322" s="81"/>
      <c r="J322" s="81"/>
      <c r="K322" s="318"/>
      <c r="L322" s="81"/>
      <c r="M322" s="298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spans="1:26" ht="13.5" customHeight="1">
      <c r="A323" s="81"/>
      <c r="G323" s="81"/>
      <c r="H323" s="81"/>
      <c r="I323" s="81"/>
      <c r="J323" s="81"/>
      <c r="K323" s="318"/>
      <c r="L323" s="81"/>
      <c r="M323" s="298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spans="1:26" ht="13.5" customHeight="1">
      <c r="A324" s="81"/>
      <c r="G324" s="81"/>
      <c r="H324" s="81"/>
      <c r="I324" s="81"/>
      <c r="J324" s="81"/>
      <c r="K324" s="318"/>
      <c r="L324" s="81"/>
      <c r="M324" s="298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spans="1:26" ht="13.5" customHeight="1">
      <c r="A325" s="81"/>
      <c r="G325" s="81"/>
      <c r="H325" s="81"/>
      <c r="I325" s="81"/>
      <c r="J325" s="81"/>
      <c r="K325" s="318"/>
      <c r="L325" s="81"/>
      <c r="M325" s="298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spans="1:26" ht="13.5" customHeight="1">
      <c r="A326" s="81"/>
      <c r="G326" s="81"/>
      <c r="H326" s="81"/>
      <c r="I326" s="81"/>
      <c r="J326" s="81"/>
      <c r="K326" s="318"/>
      <c r="L326" s="81"/>
      <c r="M326" s="298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spans="1:26" ht="13.5" customHeight="1">
      <c r="A327" s="81"/>
      <c r="G327" s="81"/>
      <c r="H327" s="81"/>
      <c r="I327" s="81"/>
      <c r="J327" s="81"/>
      <c r="K327" s="318"/>
      <c r="L327" s="81"/>
      <c r="M327" s="298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spans="1:26" ht="13.5" customHeight="1">
      <c r="A328" s="81"/>
      <c r="G328" s="81"/>
      <c r="H328" s="81"/>
      <c r="I328" s="81"/>
      <c r="J328" s="81"/>
      <c r="K328" s="318"/>
      <c r="L328" s="81"/>
      <c r="M328" s="298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spans="1:26" ht="13.5" customHeight="1">
      <c r="A329" s="81"/>
      <c r="G329" s="81"/>
      <c r="H329" s="81"/>
      <c r="I329" s="81"/>
      <c r="J329" s="81"/>
      <c r="K329" s="318"/>
      <c r="L329" s="81"/>
      <c r="M329" s="298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spans="1:26" ht="13.5" customHeight="1">
      <c r="A330" s="81"/>
      <c r="G330" s="81"/>
      <c r="H330" s="81"/>
      <c r="I330" s="81"/>
      <c r="J330" s="81"/>
      <c r="K330" s="318"/>
      <c r="L330" s="81"/>
      <c r="M330" s="298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spans="1:26" ht="13.5" customHeight="1">
      <c r="A331" s="81"/>
      <c r="G331" s="81"/>
      <c r="H331" s="81"/>
      <c r="I331" s="81"/>
      <c r="J331" s="81"/>
      <c r="K331" s="318"/>
      <c r="L331" s="81"/>
      <c r="M331" s="298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spans="1:26" ht="13.5" customHeight="1">
      <c r="A332" s="81"/>
      <c r="G332" s="81"/>
      <c r="H332" s="81"/>
      <c r="I332" s="81"/>
      <c r="J332" s="81"/>
      <c r="K332" s="318"/>
      <c r="L332" s="81"/>
      <c r="M332" s="298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spans="1:26" ht="13.5" customHeight="1">
      <c r="A333" s="81"/>
      <c r="G333" s="81"/>
      <c r="H333" s="81"/>
      <c r="I333" s="81"/>
      <c r="J333" s="81"/>
      <c r="K333" s="318"/>
      <c r="L333" s="81"/>
      <c r="M333" s="298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spans="1:26" ht="13.5" customHeight="1">
      <c r="A334" s="81"/>
      <c r="G334" s="81"/>
      <c r="H334" s="81"/>
      <c r="I334" s="81"/>
      <c r="J334" s="81"/>
      <c r="K334" s="318"/>
      <c r="L334" s="81"/>
      <c r="M334" s="298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spans="1:26" ht="13.5" customHeight="1">
      <c r="A335" s="81"/>
      <c r="G335" s="81"/>
      <c r="H335" s="81"/>
      <c r="I335" s="81"/>
      <c r="J335" s="81"/>
      <c r="K335" s="318"/>
      <c r="L335" s="81"/>
      <c r="M335" s="298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spans="1:26" ht="13.5" customHeight="1">
      <c r="A336" s="81"/>
      <c r="G336" s="81"/>
      <c r="H336" s="81"/>
      <c r="I336" s="81"/>
      <c r="J336" s="81"/>
      <c r="K336" s="318"/>
      <c r="L336" s="81"/>
      <c r="M336" s="298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spans="1:26" ht="13.5" customHeight="1">
      <c r="A337" s="81"/>
      <c r="G337" s="81"/>
      <c r="H337" s="81"/>
      <c r="I337" s="81"/>
      <c r="J337" s="81"/>
      <c r="K337" s="318"/>
      <c r="L337" s="81"/>
      <c r="M337" s="298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spans="1:26" ht="13.5" customHeight="1">
      <c r="A338" s="81"/>
      <c r="G338" s="81"/>
      <c r="H338" s="81"/>
      <c r="I338" s="81"/>
      <c r="J338" s="81"/>
      <c r="K338" s="318"/>
      <c r="L338" s="81"/>
      <c r="M338" s="298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spans="1:26" ht="13.5" customHeight="1">
      <c r="A339" s="81"/>
      <c r="G339" s="81"/>
      <c r="H339" s="81"/>
      <c r="I339" s="81"/>
      <c r="J339" s="81"/>
      <c r="K339" s="318"/>
      <c r="L339" s="81"/>
      <c r="M339" s="298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spans="1:26" ht="13.5" customHeight="1">
      <c r="A340" s="81"/>
      <c r="G340" s="81"/>
      <c r="H340" s="81"/>
      <c r="I340" s="81"/>
      <c r="J340" s="81"/>
      <c r="K340" s="318"/>
      <c r="L340" s="81"/>
      <c r="M340" s="298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spans="1:26" ht="13.5" customHeight="1">
      <c r="A341" s="81"/>
      <c r="G341" s="81"/>
      <c r="H341" s="81"/>
      <c r="I341" s="81"/>
      <c r="J341" s="81"/>
      <c r="K341" s="318"/>
      <c r="L341" s="81"/>
      <c r="M341" s="298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spans="1:26" ht="13.5" customHeight="1">
      <c r="A342" s="81"/>
      <c r="G342" s="81"/>
      <c r="H342" s="81"/>
      <c r="I342" s="81"/>
      <c r="J342" s="81"/>
      <c r="K342" s="318"/>
      <c r="L342" s="81"/>
      <c r="M342" s="298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spans="1:26" ht="13.5" customHeight="1">
      <c r="A343" s="81"/>
      <c r="G343" s="81"/>
      <c r="H343" s="81"/>
      <c r="I343" s="81"/>
      <c r="J343" s="81"/>
      <c r="K343" s="318"/>
      <c r="L343" s="81"/>
      <c r="M343" s="298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spans="1:26" ht="13.5" customHeight="1">
      <c r="A344" s="81"/>
      <c r="G344" s="81"/>
      <c r="H344" s="81"/>
      <c r="I344" s="81"/>
      <c r="J344" s="81"/>
      <c r="K344" s="318"/>
      <c r="L344" s="81"/>
      <c r="M344" s="298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spans="1:26" ht="13.5" customHeight="1">
      <c r="A345" s="81"/>
      <c r="G345" s="81"/>
      <c r="H345" s="81"/>
      <c r="I345" s="81"/>
      <c r="J345" s="81"/>
      <c r="K345" s="318"/>
      <c r="L345" s="81"/>
      <c r="M345" s="298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spans="1:26" ht="13.5" customHeight="1">
      <c r="A346" s="81"/>
      <c r="G346" s="81"/>
      <c r="H346" s="81"/>
      <c r="I346" s="81"/>
      <c r="J346" s="81"/>
      <c r="K346" s="318"/>
      <c r="L346" s="81"/>
      <c r="M346" s="298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spans="1:26" ht="13.5" customHeight="1">
      <c r="A347" s="81"/>
      <c r="G347" s="81"/>
      <c r="H347" s="81"/>
      <c r="I347" s="81"/>
      <c r="J347" s="81"/>
      <c r="K347" s="318"/>
      <c r="L347" s="81"/>
      <c r="M347" s="298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spans="1:26" ht="13.5" customHeight="1">
      <c r="A348" s="81"/>
      <c r="G348" s="81"/>
      <c r="H348" s="81"/>
      <c r="I348" s="81"/>
      <c r="J348" s="81"/>
      <c r="K348" s="318"/>
      <c r="L348" s="81"/>
      <c r="M348" s="298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spans="1:26" ht="13.5" customHeight="1">
      <c r="A349" s="81"/>
      <c r="G349" s="81"/>
      <c r="H349" s="81"/>
      <c r="I349" s="81"/>
      <c r="J349" s="81"/>
      <c r="K349" s="318"/>
      <c r="L349" s="81"/>
      <c r="M349" s="298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spans="1:26" ht="13.5" customHeight="1">
      <c r="A350" s="81"/>
      <c r="G350" s="81"/>
      <c r="H350" s="81"/>
      <c r="I350" s="81"/>
      <c r="J350" s="81"/>
      <c r="K350" s="318"/>
      <c r="L350" s="81"/>
      <c r="M350" s="298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spans="1:26" ht="13.5" customHeight="1">
      <c r="A351" s="81"/>
      <c r="G351" s="81"/>
      <c r="H351" s="81"/>
      <c r="I351" s="81"/>
      <c r="J351" s="81"/>
      <c r="K351" s="318"/>
      <c r="L351" s="81"/>
      <c r="M351" s="298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spans="1:26" ht="13.5" customHeight="1">
      <c r="A352" s="81"/>
      <c r="G352" s="81"/>
      <c r="H352" s="81"/>
      <c r="I352" s="81"/>
      <c r="J352" s="81"/>
      <c r="K352" s="318"/>
      <c r="L352" s="81"/>
      <c r="M352" s="298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spans="1:26" ht="13.5" customHeight="1">
      <c r="A353" s="81"/>
      <c r="G353" s="81"/>
      <c r="H353" s="81"/>
      <c r="I353" s="81"/>
      <c r="J353" s="81"/>
      <c r="K353" s="318"/>
      <c r="L353" s="81"/>
      <c r="M353" s="298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spans="1:26" ht="13.5" customHeight="1">
      <c r="A354" s="81"/>
      <c r="G354" s="81"/>
      <c r="H354" s="81"/>
      <c r="I354" s="81"/>
      <c r="J354" s="81"/>
      <c r="K354" s="318"/>
      <c r="L354" s="81"/>
      <c r="M354" s="298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spans="1:26" ht="13.5" customHeight="1">
      <c r="A355" s="81"/>
      <c r="G355" s="81"/>
      <c r="H355" s="81"/>
      <c r="I355" s="81"/>
      <c r="J355" s="81"/>
      <c r="K355" s="318"/>
      <c r="L355" s="81"/>
      <c r="M355" s="298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1:26" ht="13.5" customHeight="1">
      <c r="A356" s="81"/>
      <c r="G356" s="81"/>
      <c r="H356" s="81"/>
      <c r="I356" s="81"/>
      <c r="J356" s="81"/>
      <c r="K356" s="318"/>
      <c r="L356" s="81"/>
      <c r="M356" s="298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1:26" ht="13.5" customHeight="1">
      <c r="A357" s="81"/>
      <c r="G357" s="81"/>
      <c r="H357" s="81"/>
      <c r="I357" s="81"/>
      <c r="J357" s="81"/>
      <c r="K357" s="318"/>
      <c r="L357" s="81"/>
      <c r="M357" s="298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1:26" ht="13.5" customHeight="1">
      <c r="A358" s="81"/>
      <c r="G358" s="81"/>
      <c r="H358" s="81"/>
      <c r="I358" s="81"/>
      <c r="J358" s="81"/>
      <c r="K358" s="318"/>
      <c r="L358" s="81"/>
      <c r="M358" s="298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spans="1:26" ht="13.5" customHeight="1">
      <c r="A359" s="81"/>
      <c r="G359" s="81"/>
      <c r="H359" s="81"/>
      <c r="I359" s="81"/>
      <c r="J359" s="81"/>
      <c r="K359" s="318"/>
      <c r="L359" s="81"/>
      <c r="M359" s="298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spans="1:26" ht="13.5" customHeight="1">
      <c r="A360" s="81"/>
      <c r="G360" s="81"/>
      <c r="H360" s="81"/>
      <c r="I360" s="81"/>
      <c r="J360" s="81"/>
      <c r="K360" s="318"/>
      <c r="L360" s="81"/>
      <c r="M360" s="298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spans="1:26" ht="13.5" customHeight="1">
      <c r="A361" s="81"/>
      <c r="G361" s="81"/>
      <c r="H361" s="81"/>
      <c r="I361" s="81"/>
      <c r="J361" s="81"/>
      <c r="K361" s="318"/>
      <c r="L361" s="81"/>
      <c r="M361" s="298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spans="1:26" ht="13.5" customHeight="1">
      <c r="A362" s="81"/>
      <c r="G362" s="81"/>
      <c r="H362" s="81"/>
      <c r="I362" s="81"/>
      <c r="J362" s="81"/>
      <c r="K362" s="318"/>
      <c r="L362" s="81"/>
      <c r="M362" s="298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6" ht="13.5" customHeight="1">
      <c r="A363" s="81"/>
      <c r="G363" s="81"/>
      <c r="H363" s="81"/>
      <c r="I363" s="81"/>
      <c r="J363" s="81"/>
      <c r="K363" s="318"/>
      <c r="L363" s="81"/>
      <c r="M363" s="298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spans="1:26" ht="13.5" customHeight="1">
      <c r="A364" s="81"/>
      <c r="G364" s="81"/>
      <c r="H364" s="81"/>
      <c r="I364" s="81"/>
      <c r="J364" s="81"/>
      <c r="K364" s="318"/>
      <c r="L364" s="81"/>
      <c r="M364" s="298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spans="1:26" ht="13.5" customHeight="1">
      <c r="A365" s="81"/>
      <c r="G365" s="81"/>
      <c r="H365" s="81"/>
      <c r="I365" s="81"/>
      <c r="J365" s="81"/>
      <c r="K365" s="318"/>
      <c r="L365" s="81"/>
      <c r="M365" s="298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spans="1:26" ht="13.5" customHeight="1">
      <c r="A366" s="81"/>
      <c r="G366" s="81"/>
      <c r="H366" s="81"/>
      <c r="I366" s="81"/>
      <c r="J366" s="81"/>
      <c r="K366" s="318"/>
      <c r="L366" s="81"/>
      <c r="M366" s="298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spans="1:26" ht="13.5" customHeight="1">
      <c r="A367" s="81"/>
      <c r="G367" s="81"/>
      <c r="H367" s="81"/>
      <c r="I367" s="81"/>
      <c r="J367" s="81"/>
      <c r="K367" s="318"/>
      <c r="L367" s="81"/>
      <c r="M367" s="298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spans="1:26" ht="13.5" customHeight="1">
      <c r="A368" s="81"/>
      <c r="G368" s="81"/>
      <c r="H368" s="81"/>
      <c r="I368" s="81"/>
      <c r="J368" s="81"/>
      <c r="K368" s="318"/>
      <c r="L368" s="81"/>
      <c r="M368" s="298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6" ht="13.5" customHeight="1">
      <c r="A369" s="81"/>
      <c r="G369" s="81"/>
      <c r="H369" s="81"/>
      <c r="I369" s="81"/>
      <c r="J369" s="81"/>
      <c r="K369" s="318"/>
      <c r="L369" s="81"/>
      <c r="M369" s="298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6" ht="13.5" customHeight="1">
      <c r="A370" s="81"/>
      <c r="G370" s="81"/>
      <c r="H370" s="81"/>
      <c r="I370" s="81"/>
      <c r="J370" s="81"/>
      <c r="K370" s="318"/>
      <c r="L370" s="81"/>
      <c r="M370" s="298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spans="1:26" ht="13.5" customHeight="1">
      <c r="A371" s="81"/>
      <c r="G371" s="81"/>
      <c r="H371" s="81"/>
      <c r="I371" s="81"/>
      <c r="J371" s="81"/>
      <c r="K371" s="318"/>
      <c r="L371" s="81"/>
      <c r="M371" s="298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spans="1:26" ht="13.5" customHeight="1">
      <c r="A372" s="81"/>
      <c r="G372" s="81"/>
      <c r="H372" s="81"/>
      <c r="I372" s="81"/>
      <c r="J372" s="81"/>
      <c r="K372" s="318"/>
      <c r="L372" s="81"/>
      <c r="M372" s="298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6" ht="13.5" customHeight="1">
      <c r="A373" s="81"/>
      <c r="G373" s="81"/>
      <c r="H373" s="81"/>
      <c r="I373" s="81"/>
      <c r="J373" s="81"/>
      <c r="K373" s="318"/>
      <c r="L373" s="81"/>
      <c r="M373" s="298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6" ht="13.5" customHeight="1">
      <c r="A374" s="81"/>
      <c r="G374" s="81"/>
      <c r="H374" s="81"/>
      <c r="I374" s="81"/>
      <c r="J374" s="81"/>
      <c r="K374" s="318"/>
      <c r="L374" s="81"/>
      <c r="M374" s="298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6" ht="13.5" customHeight="1">
      <c r="A375" s="81"/>
      <c r="G375" s="81"/>
      <c r="H375" s="81"/>
      <c r="I375" s="81"/>
      <c r="J375" s="81"/>
      <c r="K375" s="318"/>
      <c r="L375" s="81"/>
      <c r="M375" s="298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spans="1:26" ht="13.5" customHeight="1">
      <c r="A376" s="81"/>
      <c r="G376" s="81"/>
      <c r="H376" s="81"/>
      <c r="I376" s="81"/>
      <c r="J376" s="81"/>
      <c r="K376" s="318"/>
      <c r="L376" s="81"/>
      <c r="M376" s="298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spans="1:26" ht="13.5" customHeight="1">
      <c r="A377" s="81"/>
      <c r="G377" s="81"/>
      <c r="H377" s="81"/>
      <c r="I377" s="81"/>
      <c r="J377" s="81"/>
      <c r="K377" s="318"/>
      <c r="L377" s="81"/>
      <c r="M377" s="298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spans="1:26" ht="13.5" customHeight="1">
      <c r="A378" s="81"/>
      <c r="G378" s="81"/>
      <c r="H378" s="81"/>
      <c r="I378" s="81"/>
      <c r="J378" s="81"/>
      <c r="K378" s="318"/>
      <c r="L378" s="81"/>
      <c r="M378" s="298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spans="1:26" ht="13.5" customHeight="1">
      <c r="A379" s="81"/>
      <c r="G379" s="81"/>
      <c r="H379" s="81"/>
      <c r="I379" s="81"/>
      <c r="J379" s="81"/>
      <c r="K379" s="318"/>
      <c r="L379" s="81"/>
      <c r="M379" s="298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6" ht="13.5" customHeight="1">
      <c r="A380" s="81"/>
      <c r="G380" s="81"/>
      <c r="H380" s="81"/>
      <c r="I380" s="81"/>
      <c r="J380" s="81"/>
      <c r="K380" s="318"/>
      <c r="L380" s="81"/>
      <c r="M380" s="298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spans="1:26" ht="13.5" customHeight="1">
      <c r="A381" s="81"/>
      <c r="G381" s="81"/>
      <c r="H381" s="81"/>
      <c r="I381" s="81"/>
      <c r="J381" s="81"/>
      <c r="K381" s="318"/>
      <c r="L381" s="81"/>
      <c r="M381" s="298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spans="1:26" ht="13.5" customHeight="1">
      <c r="A382" s="81"/>
      <c r="G382" s="81"/>
      <c r="H382" s="81"/>
      <c r="I382" s="81"/>
      <c r="J382" s="81"/>
      <c r="K382" s="318"/>
      <c r="L382" s="81"/>
      <c r="M382" s="298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spans="1:26" ht="13.5" customHeight="1">
      <c r="A383" s="81"/>
      <c r="G383" s="81"/>
      <c r="H383" s="81"/>
      <c r="I383" s="81"/>
      <c r="J383" s="81"/>
      <c r="K383" s="318"/>
      <c r="L383" s="81"/>
      <c r="M383" s="298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spans="1:26" ht="13.5" customHeight="1">
      <c r="A384" s="81"/>
      <c r="G384" s="81"/>
      <c r="H384" s="81"/>
      <c r="I384" s="81"/>
      <c r="J384" s="81"/>
      <c r="K384" s="318"/>
      <c r="L384" s="81"/>
      <c r="M384" s="298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spans="1:26" ht="13.5" customHeight="1">
      <c r="A385" s="81"/>
      <c r="G385" s="81"/>
      <c r="H385" s="81"/>
      <c r="I385" s="81"/>
      <c r="J385" s="81"/>
      <c r="K385" s="318"/>
      <c r="L385" s="81"/>
      <c r="M385" s="298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ht="13.5" customHeight="1">
      <c r="A386" s="81"/>
      <c r="G386" s="81"/>
      <c r="H386" s="81"/>
      <c r="I386" s="81"/>
      <c r="J386" s="81"/>
      <c r="K386" s="318"/>
      <c r="L386" s="81"/>
      <c r="M386" s="298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t="13.5" customHeight="1">
      <c r="A387" s="81"/>
      <c r="G387" s="81"/>
      <c r="H387" s="81"/>
      <c r="I387" s="81"/>
      <c r="J387" s="81"/>
      <c r="K387" s="318"/>
      <c r="L387" s="81"/>
      <c r="M387" s="298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spans="1:26" ht="13.5" customHeight="1">
      <c r="A388" s="81"/>
      <c r="G388" s="81"/>
      <c r="H388" s="81"/>
      <c r="I388" s="81"/>
      <c r="J388" s="81"/>
      <c r="K388" s="318"/>
      <c r="L388" s="81"/>
      <c r="M388" s="298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spans="1:26" ht="13.5" customHeight="1">
      <c r="A389" s="81"/>
      <c r="G389" s="81"/>
      <c r="H389" s="81"/>
      <c r="I389" s="81"/>
      <c r="J389" s="81"/>
      <c r="K389" s="318"/>
      <c r="L389" s="81"/>
      <c r="M389" s="298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spans="1:26" ht="13.5" customHeight="1">
      <c r="A390" s="81"/>
      <c r="G390" s="81"/>
      <c r="H390" s="81"/>
      <c r="I390" s="81"/>
      <c r="J390" s="81"/>
      <c r="K390" s="318"/>
      <c r="L390" s="81"/>
      <c r="M390" s="298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spans="1:26" ht="13.5" customHeight="1">
      <c r="A391" s="81"/>
      <c r="G391" s="81"/>
      <c r="H391" s="81"/>
      <c r="I391" s="81"/>
      <c r="J391" s="81"/>
      <c r="K391" s="318"/>
      <c r="L391" s="81"/>
      <c r="M391" s="298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spans="1:26" ht="13.5" customHeight="1">
      <c r="A392" s="81"/>
      <c r="G392" s="81"/>
      <c r="H392" s="81"/>
      <c r="I392" s="81"/>
      <c r="J392" s="81"/>
      <c r="K392" s="318"/>
      <c r="L392" s="81"/>
      <c r="M392" s="298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spans="1:26" ht="13.5" customHeight="1">
      <c r="A393" s="81"/>
      <c r="G393" s="81"/>
      <c r="H393" s="81"/>
      <c r="I393" s="81"/>
      <c r="J393" s="81"/>
      <c r="K393" s="318"/>
      <c r="L393" s="81"/>
      <c r="M393" s="298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spans="1:26" ht="13.5" customHeight="1">
      <c r="A394" s="81"/>
      <c r="G394" s="81"/>
      <c r="H394" s="81"/>
      <c r="I394" s="81"/>
      <c r="J394" s="81"/>
      <c r="K394" s="318"/>
      <c r="L394" s="81"/>
      <c r="M394" s="298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spans="1:26" ht="13.5" customHeight="1">
      <c r="A395" s="81"/>
      <c r="G395" s="81"/>
      <c r="H395" s="81"/>
      <c r="I395" s="81"/>
      <c r="J395" s="81"/>
      <c r="K395" s="318"/>
      <c r="L395" s="81"/>
      <c r="M395" s="298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spans="1:26" ht="13.5" customHeight="1">
      <c r="A396" s="81"/>
      <c r="G396" s="81"/>
      <c r="H396" s="81"/>
      <c r="I396" s="81"/>
      <c r="J396" s="81"/>
      <c r="K396" s="318"/>
      <c r="L396" s="81"/>
      <c r="M396" s="298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spans="1:26" ht="13.5" customHeight="1">
      <c r="A397" s="81"/>
      <c r="G397" s="81"/>
      <c r="H397" s="81"/>
      <c r="I397" s="81"/>
      <c r="J397" s="81"/>
      <c r="K397" s="318"/>
      <c r="L397" s="81"/>
      <c r="M397" s="298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spans="1:26" ht="13.5" customHeight="1">
      <c r="A398" s="81"/>
      <c r="G398" s="81"/>
      <c r="H398" s="81"/>
      <c r="I398" s="81"/>
      <c r="J398" s="81"/>
      <c r="K398" s="318"/>
      <c r="L398" s="81"/>
      <c r="M398" s="298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spans="1:26" ht="13.5" customHeight="1">
      <c r="A399" s="81"/>
      <c r="G399" s="81"/>
      <c r="H399" s="81"/>
      <c r="I399" s="81"/>
      <c r="J399" s="81"/>
      <c r="K399" s="318"/>
      <c r="L399" s="81"/>
      <c r="M399" s="298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spans="1:26" ht="13.5" customHeight="1">
      <c r="A400" s="81"/>
      <c r="G400" s="81"/>
      <c r="H400" s="81"/>
      <c r="I400" s="81"/>
      <c r="J400" s="81"/>
      <c r="K400" s="318"/>
      <c r="L400" s="81"/>
      <c r="M400" s="298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spans="1:26" ht="13.5" customHeight="1">
      <c r="A401" s="81"/>
      <c r="G401" s="81"/>
      <c r="H401" s="81"/>
      <c r="I401" s="81"/>
      <c r="J401" s="81"/>
      <c r="K401" s="318"/>
      <c r="L401" s="81"/>
      <c r="M401" s="298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spans="1:26" ht="13.5" customHeight="1">
      <c r="A402" s="81"/>
      <c r="G402" s="81"/>
      <c r="H402" s="81"/>
      <c r="I402" s="81"/>
      <c r="J402" s="81"/>
      <c r="K402" s="318"/>
      <c r="L402" s="81"/>
      <c r="M402" s="298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spans="1:26" ht="13.5" customHeight="1">
      <c r="A403" s="81"/>
      <c r="G403" s="81"/>
      <c r="H403" s="81"/>
      <c r="I403" s="81"/>
      <c r="J403" s="81"/>
      <c r="K403" s="318"/>
      <c r="L403" s="81"/>
      <c r="M403" s="298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spans="1:26" ht="13.5" customHeight="1">
      <c r="A404" s="81"/>
      <c r="G404" s="81"/>
      <c r="H404" s="81"/>
      <c r="I404" s="81"/>
      <c r="J404" s="81"/>
      <c r="K404" s="318"/>
      <c r="L404" s="81"/>
      <c r="M404" s="298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spans="1:26" ht="13.5" customHeight="1">
      <c r="A405" s="81"/>
      <c r="G405" s="81"/>
      <c r="H405" s="81"/>
      <c r="I405" s="81"/>
      <c r="J405" s="81"/>
      <c r="K405" s="318"/>
      <c r="L405" s="81"/>
      <c r="M405" s="298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spans="1:26" ht="13.5" customHeight="1">
      <c r="A406" s="81"/>
      <c r="G406" s="81"/>
      <c r="H406" s="81"/>
      <c r="I406" s="81"/>
      <c r="J406" s="81"/>
      <c r="K406" s="318"/>
      <c r="L406" s="81"/>
      <c r="M406" s="298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spans="1:26" ht="13.5" customHeight="1">
      <c r="A407" s="81"/>
      <c r="G407" s="81"/>
      <c r="H407" s="81"/>
      <c r="I407" s="81"/>
      <c r="J407" s="81"/>
      <c r="K407" s="318"/>
      <c r="L407" s="81"/>
      <c r="M407" s="298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spans="1:26" ht="13.5" customHeight="1">
      <c r="A408" s="81"/>
      <c r="G408" s="81"/>
      <c r="H408" s="81"/>
      <c r="I408" s="81"/>
      <c r="J408" s="81"/>
      <c r="K408" s="318"/>
      <c r="L408" s="81"/>
      <c r="M408" s="298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spans="1:26" ht="13.5" customHeight="1">
      <c r="A409" s="81"/>
      <c r="G409" s="81"/>
      <c r="H409" s="81"/>
      <c r="I409" s="81"/>
      <c r="J409" s="81"/>
      <c r="K409" s="318"/>
      <c r="L409" s="81"/>
      <c r="M409" s="298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spans="1:26" ht="13.5" customHeight="1">
      <c r="A410" s="81"/>
      <c r="G410" s="81"/>
      <c r="H410" s="81"/>
      <c r="I410" s="81"/>
      <c r="J410" s="81"/>
      <c r="K410" s="318"/>
      <c r="L410" s="81"/>
      <c r="M410" s="298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spans="1:26" ht="13.5" customHeight="1">
      <c r="A411" s="81"/>
      <c r="G411" s="81"/>
      <c r="H411" s="81"/>
      <c r="I411" s="81"/>
      <c r="J411" s="81"/>
      <c r="K411" s="318"/>
      <c r="L411" s="81"/>
      <c r="M411" s="298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spans="1:26" ht="13.5" customHeight="1">
      <c r="A412" s="81"/>
      <c r="G412" s="81"/>
      <c r="H412" s="81"/>
      <c r="I412" s="81"/>
      <c r="J412" s="81"/>
      <c r="K412" s="318"/>
      <c r="L412" s="81"/>
      <c r="M412" s="298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spans="1:26" ht="13.5" customHeight="1">
      <c r="A413" s="81"/>
      <c r="G413" s="81"/>
      <c r="H413" s="81"/>
      <c r="I413" s="81"/>
      <c r="J413" s="81"/>
      <c r="K413" s="318"/>
      <c r="L413" s="81"/>
      <c r="M413" s="298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spans="1:26" ht="13.5" customHeight="1">
      <c r="A414" s="81"/>
      <c r="G414" s="81"/>
      <c r="H414" s="81"/>
      <c r="I414" s="81"/>
      <c r="J414" s="81"/>
      <c r="K414" s="318"/>
      <c r="L414" s="81"/>
      <c r="M414" s="298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spans="1:26" ht="13.5" customHeight="1">
      <c r="A415" s="81"/>
      <c r="G415" s="81"/>
      <c r="H415" s="81"/>
      <c r="I415" s="81"/>
      <c r="J415" s="81"/>
      <c r="K415" s="318"/>
      <c r="L415" s="81"/>
      <c r="M415" s="298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spans="1:26" ht="13.5" customHeight="1">
      <c r="A416" s="81"/>
      <c r="G416" s="81"/>
      <c r="H416" s="81"/>
      <c r="I416" s="81"/>
      <c r="J416" s="81"/>
      <c r="K416" s="318"/>
      <c r="L416" s="81"/>
      <c r="M416" s="298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spans="1:26" ht="13.5" customHeight="1">
      <c r="A417" s="81"/>
      <c r="G417" s="81"/>
      <c r="H417" s="81"/>
      <c r="I417" s="81"/>
      <c r="J417" s="81"/>
      <c r="K417" s="318"/>
      <c r="L417" s="81"/>
      <c r="M417" s="298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spans="1:26" ht="13.5" customHeight="1">
      <c r="A418" s="81"/>
      <c r="G418" s="81"/>
      <c r="H418" s="81"/>
      <c r="I418" s="81"/>
      <c r="J418" s="81"/>
      <c r="K418" s="318"/>
      <c r="L418" s="81"/>
      <c r="M418" s="298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spans="1:26" ht="13.5" customHeight="1">
      <c r="A419" s="81"/>
      <c r="G419" s="81"/>
      <c r="H419" s="81"/>
      <c r="I419" s="81"/>
      <c r="J419" s="81"/>
      <c r="K419" s="318"/>
      <c r="L419" s="81"/>
      <c r="M419" s="298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spans="1:26" ht="13.5" customHeight="1">
      <c r="A420" s="81"/>
      <c r="G420" s="81"/>
      <c r="H420" s="81"/>
      <c r="I420" s="81"/>
      <c r="J420" s="81"/>
      <c r="K420" s="318"/>
      <c r="L420" s="81"/>
      <c r="M420" s="298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spans="1:26" ht="13.5" customHeight="1">
      <c r="A421" s="81"/>
      <c r="G421" s="81"/>
      <c r="H421" s="81"/>
      <c r="I421" s="81"/>
      <c r="J421" s="81"/>
      <c r="K421" s="318"/>
      <c r="L421" s="81"/>
      <c r="M421" s="298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spans="1:26" ht="13.5" customHeight="1">
      <c r="A422" s="81"/>
      <c r="G422" s="81"/>
      <c r="H422" s="81"/>
      <c r="I422" s="81"/>
      <c r="J422" s="81"/>
      <c r="K422" s="318"/>
      <c r="L422" s="81"/>
      <c r="M422" s="298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spans="1:26" ht="13.5" customHeight="1">
      <c r="A423" s="81"/>
      <c r="G423" s="81"/>
      <c r="H423" s="81"/>
      <c r="I423" s="81"/>
      <c r="J423" s="81"/>
      <c r="K423" s="318"/>
      <c r="L423" s="81"/>
      <c r="M423" s="298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spans="1:26" ht="13.5" customHeight="1">
      <c r="A424" s="81"/>
      <c r="G424" s="81"/>
      <c r="H424" s="81"/>
      <c r="I424" s="81"/>
      <c r="J424" s="81"/>
      <c r="K424" s="318"/>
      <c r="L424" s="81"/>
      <c r="M424" s="298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spans="1:26" ht="13.5" customHeight="1">
      <c r="A425" s="81"/>
      <c r="G425" s="81"/>
      <c r="H425" s="81"/>
      <c r="I425" s="81"/>
      <c r="J425" s="81"/>
      <c r="K425" s="318"/>
      <c r="L425" s="81"/>
      <c r="M425" s="298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spans="1:26" ht="13.5" customHeight="1">
      <c r="A426" s="81"/>
      <c r="G426" s="81"/>
      <c r="H426" s="81"/>
      <c r="I426" s="81"/>
      <c r="J426" s="81"/>
      <c r="K426" s="318"/>
      <c r="L426" s="81"/>
      <c r="M426" s="298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spans="1:26" ht="13.5" customHeight="1">
      <c r="A427" s="81"/>
      <c r="G427" s="81"/>
      <c r="H427" s="81"/>
      <c r="I427" s="81"/>
      <c r="J427" s="81"/>
      <c r="K427" s="318"/>
      <c r="L427" s="81"/>
      <c r="M427" s="298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spans="1:26" ht="13.5" customHeight="1">
      <c r="A428" s="81"/>
      <c r="G428" s="81"/>
      <c r="H428" s="81"/>
      <c r="I428" s="81"/>
      <c r="J428" s="81"/>
      <c r="K428" s="318"/>
      <c r="L428" s="81"/>
      <c r="M428" s="298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spans="1:26" ht="13.5" customHeight="1">
      <c r="A429" s="81"/>
      <c r="G429" s="81"/>
      <c r="H429" s="81"/>
      <c r="I429" s="81"/>
      <c r="J429" s="81"/>
      <c r="K429" s="318"/>
      <c r="L429" s="81"/>
      <c r="M429" s="298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spans="1:26" ht="13.5" customHeight="1">
      <c r="A430" s="81"/>
      <c r="G430" s="81"/>
      <c r="H430" s="81"/>
      <c r="I430" s="81"/>
      <c r="J430" s="81"/>
      <c r="K430" s="318"/>
      <c r="L430" s="81"/>
      <c r="M430" s="298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spans="1:26" ht="13.5" customHeight="1">
      <c r="A431" s="81"/>
      <c r="G431" s="81"/>
      <c r="H431" s="81"/>
      <c r="I431" s="81"/>
      <c r="J431" s="81"/>
      <c r="K431" s="318"/>
      <c r="L431" s="81"/>
      <c r="M431" s="298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spans="1:26" ht="13.5" customHeight="1">
      <c r="A432" s="81"/>
      <c r="G432" s="81"/>
      <c r="H432" s="81"/>
      <c r="I432" s="81"/>
      <c r="J432" s="81"/>
      <c r="K432" s="318"/>
      <c r="L432" s="81"/>
      <c r="M432" s="298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spans="1:26" ht="13.5" customHeight="1">
      <c r="A433" s="81"/>
      <c r="G433" s="81"/>
      <c r="H433" s="81"/>
      <c r="I433" s="81"/>
      <c r="J433" s="81"/>
      <c r="K433" s="318"/>
      <c r="L433" s="81"/>
      <c r="M433" s="298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spans="1:26" ht="13.5" customHeight="1">
      <c r="A434" s="81"/>
      <c r="G434" s="81"/>
      <c r="H434" s="81"/>
      <c r="I434" s="81"/>
      <c r="J434" s="81"/>
      <c r="K434" s="318"/>
      <c r="L434" s="81"/>
      <c r="M434" s="298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spans="1:26" ht="13.5" customHeight="1">
      <c r="A435" s="81"/>
      <c r="G435" s="81"/>
      <c r="H435" s="81"/>
      <c r="I435" s="81"/>
      <c r="J435" s="81"/>
      <c r="K435" s="318"/>
      <c r="L435" s="81"/>
      <c r="M435" s="298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spans="1:26" ht="13.5" customHeight="1">
      <c r="A436" s="81"/>
      <c r="G436" s="81"/>
      <c r="H436" s="81"/>
      <c r="I436" s="81"/>
      <c r="J436" s="81"/>
      <c r="K436" s="318"/>
      <c r="L436" s="81"/>
      <c r="M436" s="298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spans="1:26" ht="13.5" customHeight="1">
      <c r="A437" s="81"/>
      <c r="G437" s="81"/>
      <c r="H437" s="81"/>
      <c r="I437" s="81"/>
      <c r="J437" s="81"/>
      <c r="K437" s="318"/>
      <c r="L437" s="81"/>
      <c r="M437" s="298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spans="1:26" ht="13.5" customHeight="1">
      <c r="A438" s="81"/>
      <c r="G438" s="81"/>
      <c r="H438" s="81"/>
      <c r="I438" s="81"/>
      <c r="J438" s="81"/>
      <c r="K438" s="318"/>
      <c r="L438" s="81"/>
      <c r="M438" s="298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spans="1:26" ht="13.5" customHeight="1">
      <c r="A439" s="81"/>
      <c r="G439" s="81"/>
      <c r="H439" s="81"/>
      <c r="I439" s="81"/>
      <c r="J439" s="81"/>
      <c r="K439" s="318"/>
      <c r="L439" s="81"/>
      <c r="M439" s="298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spans="1:26" ht="13.5" customHeight="1">
      <c r="A440" s="81"/>
      <c r="G440" s="81"/>
      <c r="H440" s="81"/>
      <c r="I440" s="81"/>
      <c r="J440" s="81"/>
      <c r="K440" s="318"/>
      <c r="L440" s="81"/>
      <c r="M440" s="298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spans="1:26" ht="13.5" customHeight="1">
      <c r="A441" s="81"/>
      <c r="G441" s="81"/>
      <c r="H441" s="81"/>
      <c r="I441" s="81"/>
      <c r="J441" s="81"/>
      <c r="K441" s="318"/>
      <c r="L441" s="81"/>
      <c r="M441" s="298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spans="1:26" ht="13.5" customHeight="1">
      <c r="A442" s="81"/>
      <c r="G442" s="81"/>
      <c r="H442" s="81"/>
      <c r="I442" s="81"/>
      <c r="J442" s="81"/>
      <c r="K442" s="318"/>
      <c r="L442" s="81"/>
      <c r="M442" s="298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spans="1:26" ht="13.5" customHeight="1">
      <c r="A443" s="81"/>
      <c r="G443" s="81"/>
      <c r="H443" s="81"/>
      <c r="I443" s="81"/>
      <c r="J443" s="81"/>
      <c r="K443" s="318"/>
      <c r="L443" s="81"/>
      <c r="M443" s="298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spans="1:26" ht="13.5" customHeight="1">
      <c r="A444" s="81"/>
      <c r="G444" s="81"/>
      <c r="H444" s="81"/>
      <c r="I444" s="81"/>
      <c r="J444" s="81"/>
      <c r="K444" s="318"/>
      <c r="L444" s="81"/>
      <c r="M444" s="298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spans="1:26" ht="13.5" customHeight="1">
      <c r="A445" s="81"/>
      <c r="G445" s="81"/>
      <c r="H445" s="81"/>
      <c r="I445" s="81"/>
      <c r="J445" s="81"/>
      <c r="K445" s="318"/>
      <c r="L445" s="81"/>
      <c r="M445" s="298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spans="1:26" ht="13.5" customHeight="1">
      <c r="A446" s="81"/>
      <c r="G446" s="81"/>
      <c r="H446" s="81"/>
      <c r="I446" s="81"/>
      <c r="J446" s="81"/>
      <c r="K446" s="318"/>
      <c r="L446" s="81"/>
      <c r="M446" s="298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spans="1:26" ht="13.5" customHeight="1">
      <c r="A447" s="81"/>
      <c r="G447" s="81"/>
      <c r="H447" s="81"/>
      <c r="I447" s="81"/>
      <c r="J447" s="81"/>
      <c r="K447" s="318"/>
      <c r="L447" s="81"/>
      <c r="M447" s="298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spans="1:26" ht="13.5" customHeight="1">
      <c r="A448" s="81"/>
      <c r="G448" s="81"/>
      <c r="H448" s="81"/>
      <c r="I448" s="81"/>
      <c r="J448" s="81"/>
      <c r="K448" s="318"/>
      <c r="L448" s="81"/>
      <c r="M448" s="298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spans="1:26" ht="13.5" customHeight="1">
      <c r="A449" s="81"/>
      <c r="G449" s="81"/>
      <c r="H449" s="81"/>
      <c r="I449" s="81"/>
      <c r="J449" s="81"/>
      <c r="K449" s="318"/>
      <c r="L449" s="81"/>
      <c r="M449" s="298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spans="1:26" ht="13.5" customHeight="1">
      <c r="A450" s="81"/>
      <c r="G450" s="81"/>
      <c r="H450" s="81"/>
      <c r="I450" s="81"/>
      <c r="J450" s="81"/>
      <c r="K450" s="318"/>
      <c r="L450" s="81"/>
      <c r="M450" s="298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spans="1:26" ht="13.5" customHeight="1">
      <c r="A451" s="81"/>
      <c r="G451" s="81"/>
      <c r="H451" s="81"/>
      <c r="I451" s="81"/>
      <c r="J451" s="81"/>
      <c r="K451" s="318"/>
      <c r="L451" s="81"/>
      <c r="M451" s="298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spans="1:26" ht="13.5" customHeight="1">
      <c r="A452" s="81"/>
      <c r="G452" s="81"/>
      <c r="H452" s="81"/>
      <c r="I452" s="81"/>
      <c r="J452" s="81"/>
      <c r="K452" s="318"/>
      <c r="L452" s="81"/>
      <c r="M452" s="298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spans="1:26" ht="13.5" customHeight="1">
      <c r="A453" s="81"/>
      <c r="G453" s="81"/>
      <c r="H453" s="81"/>
      <c r="I453" s="81"/>
      <c r="J453" s="81"/>
      <c r="K453" s="318"/>
      <c r="L453" s="81"/>
      <c r="M453" s="298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spans="1:26" ht="13.5" customHeight="1">
      <c r="A454" s="81"/>
      <c r="G454" s="81"/>
      <c r="H454" s="81"/>
      <c r="I454" s="81"/>
      <c r="J454" s="81"/>
      <c r="K454" s="318"/>
      <c r="L454" s="81"/>
      <c r="M454" s="298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spans="1:26" ht="13.5" customHeight="1">
      <c r="A455" s="81"/>
      <c r="G455" s="81"/>
      <c r="H455" s="81"/>
      <c r="I455" s="81"/>
      <c r="J455" s="81"/>
      <c r="K455" s="318"/>
      <c r="L455" s="81"/>
      <c r="M455" s="298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spans="1:26" ht="13.5" customHeight="1">
      <c r="A456" s="81"/>
      <c r="G456" s="81"/>
      <c r="H456" s="81"/>
      <c r="I456" s="81"/>
      <c r="J456" s="81"/>
      <c r="K456" s="318"/>
      <c r="L456" s="81"/>
      <c r="M456" s="298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spans="1:26" ht="13.5" customHeight="1">
      <c r="A457" s="81"/>
      <c r="G457" s="81"/>
      <c r="H457" s="81"/>
      <c r="I457" s="81"/>
      <c r="J457" s="81"/>
      <c r="K457" s="318"/>
      <c r="L457" s="81"/>
      <c r="M457" s="298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spans="1:26" ht="13.5" customHeight="1">
      <c r="A458" s="81"/>
      <c r="G458" s="81"/>
      <c r="H458" s="81"/>
      <c r="I458" s="81"/>
      <c r="J458" s="81"/>
      <c r="K458" s="318"/>
      <c r="L458" s="81"/>
      <c r="M458" s="298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spans="1:26" ht="13.5" customHeight="1">
      <c r="A459" s="81"/>
      <c r="G459" s="81"/>
      <c r="H459" s="81"/>
      <c r="I459" s="81"/>
      <c r="J459" s="81"/>
      <c r="K459" s="318"/>
      <c r="L459" s="81"/>
      <c r="M459" s="298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spans="1:26" ht="13.5" customHeight="1">
      <c r="A460" s="81"/>
      <c r="G460" s="81"/>
      <c r="H460" s="81"/>
      <c r="I460" s="81"/>
      <c r="J460" s="81"/>
      <c r="K460" s="318"/>
      <c r="L460" s="81"/>
      <c r="M460" s="298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spans="1:26" ht="13.5" customHeight="1">
      <c r="A461" s="81"/>
      <c r="G461" s="81"/>
      <c r="H461" s="81"/>
      <c r="I461" s="81"/>
      <c r="J461" s="81"/>
      <c r="K461" s="318"/>
      <c r="L461" s="81"/>
      <c r="M461" s="298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spans="1:26" ht="13.5" customHeight="1">
      <c r="A462" s="81"/>
      <c r="G462" s="81"/>
      <c r="H462" s="81"/>
      <c r="I462" s="81"/>
      <c r="J462" s="81"/>
      <c r="K462" s="318"/>
      <c r="L462" s="81"/>
      <c r="M462" s="298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spans="1:26" ht="13.5" customHeight="1">
      <c r="A463" s="81"/>
      <c r="G463" s="81"/>
      <c r="H463" s="81"/>
      <c r="I463" s="81"/>
      <c r="J463" s="81"/>
      <c r="K463" s="318"/>
      <c r="L463" s="81"/>
      <c r="M463" s="298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spans="1:26" ht="13.5" customHeight="1">
      <c r="A464" s="81"/>
      <c r="G464" s="81"/>
      <c r="H464" s="81"/>
      <c r="I464" s="81"/>
      <c r="J464" s="81"/>
      <c r="K464" s="318"/>
      <c r="L464" s="81"/>
      <c r="M464" s="298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spans="1:26" ht="13.5" customHeight="1">
      <c r="A465" s="81"/>
      <c r="G465" s="81"/>
      <c r="H465" s="81"/>
      <c r="I465" s="81"/>
      <c r="J465" s="81"/>
      <c r="K465" s="318"/>
      <c r="L465" s="81"/>
      <c r="M465" s="298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spans="1:26" ht="13.5" customHeight="1">
      <c r="A466" s="81"/>
      <c r="G466" s="81"/>
      <c r="H466" s="81"/>
      <c r="I466" s="81"/>
      <c r="J466" s="81"/>
      <c r="K466" s="318"/>
      <c r="L466" s="81"/>
      <c r="M466" s="298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spans="1:26" ht="13.5" customHeight="1">
      <c r="A467" s="81"/>
      <c r="G467" s="81"/>
      <c r="H467" s="81"/>
      <c r="I467" s="81"/>
      <c r="J467" s="81"/>
      <c r="K467" s="318"/>
      <c r="L467" s="81"/>
      <c r="M467" s="298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spans="1:26" ht="13.5" customHeight="1">
      <c r="A468" s="81"/>
      <c r="G468" s="81"/>
      <c r="H468" s="81"/>
      <c r="I468" s="81"/>
      <c r="J468" s="81"/>
      <c r="K468" s="318"/>
      <c r="L468" s="81"/>
      <c r="M468" s="298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spans="1:26" ht="13.5" customHeight="1">
      <c r="A469" s="81"/>
      <c r="G469" s="81"/>
      <c r="H469" s="81"/>
      <c r="I469" s="81"/>
      <c r="J469" s="81"/>
      <c r="K469" s="318"/>
      <c r="L469" s="81"/>
      <c r="M469" s="298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spans="1:26" ht="13.5" customHeight="1">
      <c r="A470" s="81"/>
      <c r="G470" s="81"/>
      <c r="H470" s="81"/>
      <c r="I470" s="81"/>
      <c r="J470" s="81"/>
      <c r="K470" s="318"/>
      <c r="L470" s="81"/>
      <c r="M470" s="298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spans="1:26" ht="13.5" customHeight="1">
      <c r="A471" s="81"/>
      <c r="G471" s="81"/>
      <c r="H471" s="81"/>
      <c r="I471" s="81"/>
      <c r="J471" s="81"/>
      <c r="K471" s="318"/>
      <c r="L471" s="81"/>
      <c r="M471" s="298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spans="1:26" ht="13.5" customHeight="1">
      <c r="A472" s="81"/>
      <c r="G472" s="81"/>
      <c r="H472" s="81"/>
      <c r="I472" s="81"/>
      <c r="J472" s="81"/>
      <c r="K472" s="318"/>
      <c r="L472" s="81"/>
      <c r="M472" s="298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spans="1:26" ht="13.5" customHeight="1">
      <c r="A473" s="81"/>
      <c r="G473" s="81"/>
      <c r="H473" s="81"/>
      <c r="I473" s="81"/>
      <c r="J473" s="81"/>
      <c r="K473" s="318"/>
      <c r="L473" s="81"/>
      <c r="M473" s="298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spans="1:26" ht="13.5" customHeight="1">
      <c r="A474" s="81"/>
      <c r="G474" s="81"/>
      <c r="H474" s="81"/>
      <c r="I474" s="81"/>
      <c r="J474" s="81"/>
      <c r="K474" s="318"/>
      <c r="L474" s="81"/>
      <c r="M474" s="298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spans="1:26" ht="13.5" customHeight="1">
      <c r="A475" s="81"/>
      <c r="G475" s="81"/>
      <c r="H475" s="81"/>
      <c r="I475" s="81"/>
      <c r="J475" s="81"/>
      <c r="K475" s="318"/>
      <c r="L475" s="81"/>
      <c r="M475" s="298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spans="1:26" ht="13.5" customHeight="1">
      <c r="A476" s="81"/>
      <c r="G476" s="81"/>
      <c r="H476" s="81"/>
      <c r="I476" s="81"/>
      <c r="J476" s="81"/>
      <c r="K476" s="318"/>
      <c r="L476" s="81"/>
      <c r="M476" s="298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spans="1:26" ht="13.5" customHeight="1">
      <c r="A477" s="81"/>
      <c r="G477" s="81"/>
      <c r="H477" s="81"/>
      <c r="I477" s="81"/>
      <c r="J477" s="81"/>
      <c r="K477" s="318"/>
      <c r="L477" s="81"/>
      <c r="M477" s="298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6" ht="13.5" customHeight="1">
      <c r="A478" s="81"/>
      <c r="G478" s="81"/>
      <c r="H478" s="81"/>
      <c r="I478" s="81"/>
      <c r="J478" s="81"/>
      <c r="K478" s="318"/>
      <c r="L478" s="81"/>
      <c r="M478" s="298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6" ht="13.5" customHeight="1">
      <c r="A479" s="81"/>
      <c r="G479" s="81"/>
      <c r="H479" s="81"/>
      <c r="I479" s="81"/>
      <c r="J479" s="81"/>
      <c r="K479" s="318"/>
      <c r="L479" s="81"/>
      <c r="M479" s="298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spans="1:26" ht="13.5" customHeight="1">
      <c r="A480" s="81"/>
      <c r="G480" s="81"/>
      <c r="H480" s="81"/>
      <c r="I480" s="81"/>
      <c r="J480" s="81"/>
      <c r="K480" s="318"/>
      <c r="L480" s="81"/>
      <c r="M480" s="298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spans="1:26" ht="13.5" customHeight="1">
      <c r="A481" s="81"/>
      <c r="G481" s="81"/>
      <c r="H481" s="81"/>
      <c r="I481" s="81"/>
      <c r="J481" s="81"/>
      <c r="K481" s="318"/>
      <c r="L481" s="81"/>
      <c r="M481" s="298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spans="1:26" ht="13.5" customHeight="1">
      <c r="A482" s="81"/>
      <c r="G482" s="81"/>
      <c r="H482" s="81"/>
      <c r="I482" s="81"/>
      <c r="J482" s="81"/>
      <c r="K482" s="318"/>
      <c r="L482" s="81"/>
      <c r="M482" s="298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spans="1:26" ht="13.5" customHeight="1">
      <c r="A483" s="81"/>
      <c r="G483" s="81"/>
      <c r="H483" s="81"/>
      <c r="I483" s="81"/>
      <c r="J483" s="81"/>
      <c r="K483" s="318"/>
      <c r="L483" s="81"/>
      <c r="M483" s="298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spans="1:26" ht="13.5" customHeight="1">
      <c r="A484" s="81"/>
      <c r="G484" s="81"/>
      <c r="H484" s="81"/>
      <c r="I484" s="81"/>
      <c r="J484" s="81"/>
      <c r="K484" s="318"/>
      <c r="L484" s="81"/>
      <c r="M484" s="298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spans="1:26" ht="13.5" customHeight="1">
      <c r="A485" s="81"/>
      <c r="G485" s="81"/>
      <c r="H485" s="81"/>
      <c r="I485" s="81"/>
      <c r="J485" s="81"/>
      <c r="K485" s="318"/>
      <c r="L485" s="81"/>
      <c r="M485" s="298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spans="1:26" ht="13.5" customHeight="1">
      <c r="A486" s="81"/>
      <c r="G486" s="81"/>
      <c r="H486" s="81"/>
      <c r="I486" s="81"/>
      <c r="J486" s="81"/>
      <c r="K486" s="318"/>
      <c r="L486" s="81"/>
      <c r="M486" s="298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spans="1:26" ht="13.5" customHeight="1">
      <c r="A487" s="81"/>
      <c r="G487" s="81"/>
      <c r="H487" s="81"/>
      <c r="I487" s="81"/>
      <c r="J487" s="81"/>
      <c r="K487" s="318"/>
      <c r="L487" s="81"/>
      <c r="M487" s="298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spans="1:26" ht="13.5" customHeight="1">
      <c r="A488" s="81"/>
      <c r="G488" s="81"/>
      <c r="H488" s="81"/>
      <c r="I488" s="81"/>
      <c r="J488" s="81"/>
      <c r="K488" s="318"/>
      <c r="L488" s="81"/>
      <c r="M488" s="298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spans="1:26" ht="13.5" customHeight="1">
      <c r="A489" s="81"/>
      <c r="G489" s="81"/>
      <c r="H489" s="81"/>
      <c r="I489" s="81"/>
      <c r="J489" s="81"/>
      <c r="K489" s="318"/>
      <c r="L489" s="81"/>
      <c r="M489" s="298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1:26" ht="13.5" customHeight="1">
      <c r="A490" s="81"/>
      <c r="G490" s="81"/>
      <c r="H490" s="81"/>
      <c r="I490" s="81"/>
      <c r="J490" s="81"/>
      <c r="K490" s="318"/>
      <c r="L490" s="81"/>
      <c r="M490" s="298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1:26" ht="13.5" customHeight="1">
      <c r="A491" s="81"/>
      <c r="G491" s="81"/>
      <c r="H491" s="81"/>
      <c r="I491" s="81"/>
      <c r="J491" s="81"/>
      <c r="K491" s="318"/>
      <c r="L491" s="81"/>
      <c r="M491" s="298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spans="1:26" ht="13.5" customHeight="1">
      <c r="A492" s="81"/>
      <c r="G492" s="81"/>
      <c r="H492" s="81"/>
      <c r="I492" s="81"/>
      <c r="J492" s="81"/>
      <c r="K492" s="318"/>
      <c r="L492" s="81"/>
      <c r="M492" s="298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spans="1:26" ht="13.5" customHeight="1">
      <c r="A493" s="81"/>
      <c r="G493" s="81"/>
      <c r="H493" s="81"/>
      <c r="I493" s="81"/>
      <c r="J493" s="81"/>
      <c r="K493" s="318"/>
      <c r="L493" s="81"/>
      <c r="M493" s="298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spans="1:26" ht="13.5" customHeight="1">
      <c r="A494" s="81"/>
      <c r="G494" s="81"/>
      <c r="H494" s="81"/>
      <c r="I494" s="81"/>
      <c r="J494" s="81"/>
      <c r="K494" s="318"/>
      <c r="L494" s="81"/>
      <c r="M494" s="298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6" ht="13.5" customHeight="1">
      <c r="A495" s="81"/>
      <c r="G495" s="81"/>
      <c r="H495" s="81"/>
      <c r="I495" s="81"/>
      <c r="J495" s="81"/>
      <c r="K495" s="318"/>
      <c r="L495" s="81"/>
      <c r="M495" s="298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6" ht="13.5" customHeight="1">
      <c r="A496" s="81"/>
      <c r="G496" s="81"/>
      <c r="H496" s="81"/>
      <c r="I496" s="81"/>
      <c r="J496" s="81"/>
      <c r="K496" s="318"/>
      <c r="L496" s="81"/>
      <c r="M496" s="298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spans="1:26" ht="13.5" customHeight="1">
      <c r="A497" s="81"/>
      <c r="G497" s="81"/>
      <c r="H497" s="81"/>
      <c r="I497" s="81"/>
      <c r="J497" s="81"/>
      <c r="K497" s="318"/>
      <c r="L497" s="81"/>
      <c r="M497" s="298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spans="1:26" ht="13.5" customHeight="1">
      <c r="A498" s="81"/>
      <c r="G498" s="81"/>
      <c r="H498" s="81"/>
      <c r="I498" s="81"/>
      <c r="J498" s="81"/>
      <c r="K498" s="318"/>
      <c r="L498" s="81"/>
      <c r="M498" s="298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spans="1:26" ht="13.5" customHeight="1">
      <c r="A499" s="81"/>
      <c r="G499" s="81"/>
      <c r="H499" s="81"/>
      <c r="I499" s="81"/>
      <c r="J499" s="81"/>
      <c r="K499" s="318"/>
      <c r="L499" s="81"/>
      <c r="M499" s="298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spans="1:26" ht="13.5" customHeight="1">
      <c r="A500" s="81"/>
      <c r="G500" s="81"/>
      <c r="H500" s="81"/>
      <c r="I500" s="81"/>
      <c r="J500" s="81"/>
      <c r="K500" s="318"/>
      <c r="L500" s="81"/>
      <c r="M500" s="298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spans="1:26" ht="13.5" customHeight="1">
      <c r="A501" s="81"/>
      <c r="G501" s="81"/>
      <c r="H501" s="81"/>
      <c r="I501" s="81"/>
      <c r="J501" s="81"/>
      <c r="K501" s="318"/>
      <c r="L501" s="81"/>
      <c r="M501" s="298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spans="1:26" ht="13.5" customHeight="1">
      <c r="A502" s="81"/>
      <c r="G502" s="81"/>
      <c r="H502" s="81"/>
      <c r="I502" s="81"/>
      <c r="J502" s="81"/>
      <c r="K502" s="318"/>
      <c r="L502" s="81"/>
      <c r="M502" s="298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spans="1:26" ht="13.5" customHeight="1">
      <c r="A503" s="81"/>
      <c r="G503" s="81"/>
      <c r="H503" s="81"/>
      <c r="I503" s="81"/>
      <c r="J503" s="81"/>
      <c r="K503" s="318"/>
      <c r="L503" s="81"/>
      <c r="M503" s="298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spans="1:26" ht="13.5" customHeight="1">
      <c r="A504" s="81"/>
      <c r="G504" s="81"/>
      <c r="H504" s="81"/>
      <c r="I504" s="81"/>
      <c r="J504" s="81"/>
      <c r="K504" s="318"/>
      <c r="L504" s="81"/>
      <c r="M504" s="298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spans="1:26" ht="13.5" customHeight="1">
      <c r="A505" s="81"/>
      <c r="G505" s="81"/>
      <c r="H505" s="81"/>
      <c r="I505" s="81"/>
      <c r="J505" s="81"/>
      <c r="K505" s="318"/>
      <c r="L505" s="81"/>
      <c r="M505" s="298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spans="1:26" ht="13.5" customHeight="1">
      <c r="A506" s="81"/>
      <c r="G506" s="81"/>
      <c r="H506" s="81"/>
      <c r="I506" s="81"/>
      <c r="J506" s="81"/>
      <c r="K506" s="318"/>
      <c r="L506" s="81"/>
      <c r="M506" s="298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spans="1:26" ht="13.5" customHeight="1">
      <c r="A507" s="81"/>
      <c r="G507" s="81"/>
      <c r="H507" s="81"/>
      <c r="I507" s="81"/>
      <c r="J507" s="81"/>
      <c r="K507" s="318"/>
      <c r="L507" s="81"/>
      <c r="M507" s="298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spans="1:26" ht="13.5" customHeight="1">
      <c r="A508" s="81"/>
      <c r="G508" s="81"/>
      <c r="H508" s="81"/>
      <c r="I508" s="81"/>
      <c r="J508" s="81"/>
      <c r="K508" s="318"/>
      <c r="L508" s="81"/>
      <c r="M508" s="298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spans="1:26" ht="13.5" customHeight="1">
      <c r="A509" s="81"/>
      <c r="G509" s="81"/>
      <c r="H509" s="81"/>
      <c r="I509" s="81"/>
      <c r="J509" s="81"/>
      <c r="K509" s="318"/>
      <c r="L509" s="81"/>
      <c r="M509" s="298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spans="1:26" ht="13.5" customHeight="1">
      <c r="A510" s="81"/>
      <c r="G510" s="81"/>
      <c r="H510" s="81"/>
      <c r="I510" s="81"/>
      <c r="J510" s="81"/>
      <c r="K510" s="318"/>
      <c r="L510" s="81"/>
      <c r="M510" s="298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spans="1:26" ht="13.5" customHeight="1">
      <c r="A511" s="81"/>
      <c r="G511" s="81"/>
      <c r="H511" s="81"/>
      <c r="I511" s="81"/>
      <c r="J511" s="81"/>
      <c r="K511" s="318"/>
      <c r="L511" s="81"/>
      <c r="M511" s="298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spans="1:26" ht="13.5" customHeight="1">
      <c r="A512" s="81"/>
      <c r="G512" s="81"/>
      <c r="H512" s="81"/>
      <c r="I512" s="81"/>
      <c r="J512" s="81"/>
      <c r="K512" s="318"/>
      <c r="L512" s="81"/>
      <c r="M512" s="298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spans="1:26" ht="13.5" customHeight="1">
      <c r="A513" s="81"/>
      <c r="G513" s="81"/>
      <c r="H513" s="81"/>
      <c r="I513" s="81"/>
      <c r="J513" s="81"/>
      <c r="K513" s="318"/>
      <c r="L513" s="81"/>
      <c r="M513" s="298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spans="1:26" ht="13.5" customHeight="1">
      <c r="A514" s="81"/>
      <c r="G514" s="81"/>
      <c r="H514" s="81"/>
      <c r="I514" s="81"/>
      <c r="J514" s="81"/>
      <c r="K514" s="318"/>
      <c r="L514" s="81"/>
      <c r="M514" s="298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spans="1:26" ht="13.5" customHeight="1">
      <c r="A515" s="81"/>
      <c r="G515" s="81"/>
      <c r="H515" s="81"/>
      <c r="I515" s="81"/>
      <c r="J515" s="81"/>
      <c r="K515" s="318"/>
      <c r="L515" s="81"/>
      <c r="M515" s="298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spans="1:26" ht="13.5" customHeight="1">
      <c r="A516" s="81"/>
      <c r="G516" s="81"/>
      <c r="H516" s="81"/>
      <c r="I516" s="81"/>
      <c r="J516" s="81"/>
      <c r="K516" s="318"/>
      <c r="L516" s="81"/>
      <c r="M516" s="298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spans="1:26" ht="13.5" customHeight="1">
      <c r="A517" s="81"/>
      <c r="G517" s="81"/>
      <c r="H517" s="81"/>
      <c r="I517" s="81"/>
      <c r="J517" s="81"/>
      <c r="K517" s="318"/>
      <c r="L517" s="81"/>
      <c r="M517" s="298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spans="1:26" ht="13.5" customHeight="1">
      <c r="A518" s="81"/>
      <c r="G518" s="81"/>
      <c r="H518" s="81"/>
      <c r="I518" s="81"/>
      <c r="J518" s="81"/>
      <c r="K518" s="318"/>
      <c r="L518" s="81"/>
      <c r="M518" s="298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spans="1:26" ht="13.5" customHeight="1">
      <c r="A519" s="81"/>
      <c r="G519" s="81"/>
      <c r="H519" s="81"/>
      <c r="I519" s="81"/>
      <c r="J519" s="81"/>
      <c r="K519" s="318"/>
      <c r="L519" s="81"/>
      <c r="M519" s="298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spans="1:26" ht="13.5" customHeight="1">
      <c r="A520" s="81"/>
      <c r="G520" s="81"/>
      <c r="H520" s="81"/>
      <c r="I520" s="81"/>
      <c r="J520" s="81"/>
      <c r="K520" s="318"/>
      <c r="L520" s="81"/>
      <c r="M520" s="298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spans="1:26" ht="13.5" customHeight="1">
      <c r="A521" s="81"/>
      <c r="G521" s="81"/>
      <c r="H521" s="81"/>
      <c r="I521" s="81"/>
      <c r="J521" s="81"/>
      <c r="K521" s="318"/>
      <c r="L521" s="81"/>
      <c r="M521" s="298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spans="1:26" ht="13.5" customHeight="1">
      <c r="A522" s="81"/>
      <c r="G522" s="81"/>
      <c r="H522" s="81"/>
      <c r="I522" s="81"/>
      <c r="J522" s="81"/>
      <c r="K522" s="318"/>
      <c r="L522" s="81"/>
      <c r="M522" s="298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spans="1:26" ht="13.5" customHeight="1">
      <c r="A523" s="81"/>
      <c r="G523" s="81"/>
      <c r="H523" s="81"/>
      <c r="I523" s="81"/>
      <c r="J523" s="81"/>
      <c r="K523" s="318"/>
      <c r="L523" s="81"/>
      <c r="M523" s="298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spans="1:26" ht="13.5" customHeight="1">
      <c r="A524" s="81"/>
      <c r="G524" s="81"/>
      <c r="H524" s="81"/>
      <c r="I524" s="81"/>
      <c r="J524" s="81"/>
      <c r="K524" s="318"/>
      <c r="L524" s="81"/>
      <c r="M524" s="298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spans="1:26" ht="13.5" customHeight="1">
      <c r="A525" s="81"/>
      <c r="G525" s="81"/>
      <c r="H525" s="81"/>
      <c r="I525" s="81"/>
      <c r="J525" s="81"/>
      <c r="K525" s="318"/>
      <c r="L525" s="81"/>
      <c r="M525" s="298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spans="1:26" ht="13.5" customHeight="1">
      <c r="A526" s="81"/>
      <c r="G526" s="81"/>
      <c r="H526" s="81"/>
      <c r="I526" s="81"/>
      <c r="J526" s="81"/>
      <c r="K526" s="318"/>
      <c r="L526" s="81"/>
      <c r="M526" s="298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spans="1:26" ht="13.5" customHeight="1">
      <c r="A527" s="81"/>
      <c r="G527" s="81"/>
      <c r="H527" s="81"/>
      <c r="I527" s="81"/>
      <c r="J527" s="81"/>
      <c r="K527" s="318"/>
      <c r="L527" s="81"/>
      <c r="M527" s="298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spans="1:26" ht="13.5" customHeight="1">
      <c r="A528" s="81"/>
      <c r="G528" s="81"/>
      <c r="H528" s="81"/>
      <c r="I528" s="81"/>
      <c r="J528" s="81"/>
      <c r="K528" s="318"/>
      <c r="L528" s="81"/>
      <c r="M528" s="298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spans="1:26" ht="13.5" customHeight="1">
      <c r="A529" s="81"/>
      <c r="G529" s="81"/>
      <c r="H529" s="81"/>
      <c r="I529" s="81"/>
      <c r="J529" s="81"/>
      <c r="K529" s="318"/>
      <c r="L529" s="81"/>
      <c r="M529" s="298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spans="1:26" ht="13.5" customHeight="1">
      <c r="A530" s="81"/>
      <c r="G530" s="81"/>
      <c r="H530" s="81"/>
      <c r="I530" s="81"/>
      <c r="J530" s="81"/>
      <c r="K530" s="318"/>
      <c r="L530" s="81"/>
      <c r="M530" s="298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spans="1:26" ht="13.5" customHeight="1">
      <c r="A531" s="81"/>
      <c r="G531" s="81"/>
      <c r="H531" s="81"/>
      <c r="I531" s="81"/>
      <c r="J531" s="81"/>
      <c r="K531" s="318"/>
      <c r="L531" s="81"/>
      <c r="M531" s="298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spans="1:26" ht="13.5" customHeight="1">
      <c r="A532" s="81"/>
      <c r="G532" s="81"/>
      <c r="H532" s="81"/>
      <c r="I532" s="81"/>
      <c r="J532" s="81"/>
      <c r="K532" s="318"/>
      <c r="L532" s="81"/>
      <c r="M532" s="298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spans="1:26" ht="13.5" customHeight="1">
      <c r="A533" s="81"/>
      <c r="G533" s="81"/>
      <c r="H533" s="81"/>
      <c r="I533" s="81"/>
      <c r="J533" s="81"/>
      <c r="K533" s="318"/>
      <c r="L533" s="81"/>
      <c r="M533" s="298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spans="1:26" ht="13.5" customHeight="1">
      <c r="A534" s="81"/>
      <c r="G534" s="81"/>
      <c r="H534" s="81"/>
      <c r="I534" s="81"/>
      <c r="J534" s="81"/>
      <c r="K534" s="318"/>
      <c r="L534" s="81"/>
      <c r="M534" s="298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spans="1:26" ht="13.5" customHeight="1">
      <c r="A535" s="81"/>
      <c r="G535" s="81"/>
      <c r="H535" s="81"/>
      <c r="I535" s="81"/>
      <c r="J535" s="81"/>
      <c r="K535" s="318"/>
      <c r="L535" s="81"/>
      <c r="M535" s="298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spans="1:26" ht="13.5" customHeight="1">
      <c r="A536" s="81"/>
      <c r="G536" s="81"/>
      <c r="H536" s="81"/>
      <c r="I536" s="81"/>
      <c r="J536" s="81"/>
      <c r="K536" s="318"/>
      <c r="L536" s="81"/>
      <c r="M536" s="298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spans="1:26" ht="13.5" customHeight="1">
      <c r="A537" s="81"/>
      <c r="G537" s="81"/>
      <c r="H537" s="81"/>
      <c r="I537" s="81"/>
      <c r="J537" s="81"/>
      <c r="K537" s="318"/>
      <c r="L537" s="81"/>
      <c r="M537" s="298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spans="1:26" ht="13.5" customHeight="1">
      <c r="A538" s="81"/>
      <c r="G538" s="81"/>
      <c r="H538" s="81"/>
      <c r="I538" s="81"/>
      <c r="J538" s="81"/>
      <c r="K538" s="318"/>
      <c r="L538" s="81"/>
      <c r="M538" s="298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spans="1:26" ht="13.5" customHeight="1">
      <c r="A539" s="81"/>
      <c r="G539" s="81"/>
      <c r="H539" s="81"/>
      <c r="I539" s="81"/>
      <c r="J539" s="81"/>
      <c r="K539" s="318"/>
      <c r="L539" s="81"/>
      <c r="M539" s="298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spans="1:26" ht="13.5" customHeight="1">
      <c r="A540" s="81"/>
      <c r="G540" s="81"/>
      <c r="H540" s="81"/>
      <c r="I540" s="81"/>
      <c r="J540" s="81"/>
      <c r="K540" s="318"/>
      <c r="L540" s="81"/>
      <c r="M540" s="298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spans="1:26" ht="13.5" customHeight="1">
      <c r="A541" s="81"/>
      <c r="G541" s="81"/>
      <c r="H541" s="81"/>
      <c r="I541" s="81"/>
      <c r="J541" s="81"/>
      <c r="K541" s="318"/>
      <c r="L541" s="81"/>
      <c r="M541" s="298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spans="1:26" ht="13.5" customHeight="1">
      <c r="A542" s="81"/>
      <c r="G542" s="81"/>
      <c r="H542" s="81"/>
      <c r="I542" s="81"/>
      <c r="J542" s="81"/>
      <c r="K542" s="318"/>
      <c r="L542" s="81"/>
      <c r="M542" s="298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spans="1:26" ht="13.5" customHeight="1">
      <c r="A543" s="81"/>
      <c r="G543" s="81"/>
      <c r="H543" s="81"/>
      <c r="I543" s="81"/>
      <c r="J543" s="81"/>
      <c r="K543" s="318"/>
      <c r="L543" s="81"/>
      <c r="M543" s="298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spans="1:26" ht="13.5" customHeight="1">
      <c r="A544" s="81"/>
      <c r="G544" s="81"/>
      <c r="H544" s="81"/>
      <c r="I544" s="81"/>
      <c r="J544" s="81"/>
      <c r="K544" s="318"/>
      <c r="L544" s="81"/>
      <c r="M544" s="298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spans="1:26" ht="13.5" customHeight="1">
      <c r="A545" s="81"/>
      <c r="G545" s="81"/>
      <c r="H545" s="81"/>
      <c r="I545" s="81"/>
      <c r="J545" s="81"/>
      <c r="K545" s="318"/>
      <c r="L545" s="81"/>
      <c r="M545" s="298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spans="1:26" ht="13.5" customHeight="1">
      <c r="A546" s="81"/>
      <c r="G546" s="81"/>
      <c r="H546" s="81"/>
      <c r="I546" s="81"/>
      <c r="J546" s="81"/>
      <c r="K546" s="318"/>
      <c r="L546" s="81"/>
      <c r="M546" s="298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spans="1:26" ht="13.5" customHeight="1">
      <c r="A547" s="81"/>
      <c r="G547" s="81"/>
      <c r="H547" s="81"/>
      <c r="I547" s="81"/>
      <c r="J547" s="81"/>
      <c r="K547" s="318"/>
      <c r="L547" s="81"/>
      <c r="M547" s="298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spans="1:26" ht="13.5" customHeight="1">
      <c r="A548" s="81"/>
      <c r="G548" s="81"/>
      <c r="H548" s="81"/>
      <c r="I548" s="81"/>
      <c r="J548" s="81"/>
      <c r="K548" s="318"/>
      <c r="L548" s="81"/>
      <c r="M548" s="298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spans="1:26" ht="13.5" customHeight="1">
      <c r="A549" s="81"/>
      <c r="G549" s="81"/>
      <c r="H549" s="81"/>
      <c r="I549" s="81"/>
      <c r="J549" s="81"/>
      <c r="K549" s="318"/>
      <c r="L549" s="81"/>
      <c r="M549" s="298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spans="1:26" ht="13.5" customHeight="1">
      <c r="A550" s="81"/>
      <c r="G550" s="81"/>
      <c r="H550" s="81"/>
      <c r="I550" s="81"/>
      <c r="J550" s="81"/>
      <c r="K550" s="318"/>
      <c r="L550" s="81"/>
      <c r="M550" s="298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spans="1:26" ht="13.5" customHeight="1">
      <c r="A551" s="81"/>
      <c r="G551" s="81"/>
      <c r="H551" s="81"/>
      <c r="I551" s="81"/>
      <c r="J551" s="81"/>
      <c r="K551" s="318"/>
      <c r="L551" s="81"/>
      <c r="M551" s="298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spans="1:26" ht="13.5" customHeight="1">
      <c r="A552" s="81"/>
      <c r="G552" s="81"/>
      <c r="H552" s="81"/>
      <c r="I552" s="81"/>
      <c r="J552" s="81"/>
      <c r="K552" s="318"/>
      <c r="L552" s="81"/>
      <c r="M552" s="298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spans="1:26" ht="13.5" customHeight="1">
      <c r="A553" s="81"/>
      <c r="G553" s="81"/>
      <c r="H553" s="81"/>
      <c r="I553" s="81"/>
      <c r="J553" s="81"/>
      <c r="K553" s="318"/>
      <c r="L553" s="81"/>
      <c r="M553" s="298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spans="1:26" ht="13.5" customHeight="1">
      <c r="A554" s="81"/>
      <c r="G554" s="81"/>
      <c r="H554" s="81"/>
      <c r="I554" s="81"/>
      <c r="J554" s="81"/>
      <c r="K554" s="318"/>
      <c r="L554" s="81"/>
      <c r="M554" s="298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spans="1:26" ht="13.5" customHeight="1">
      <c r="A555" s="81"/>
      <c r="G555" s="81"/>
      <c r="H555" s="81"/>
      <c r="I555" s="81"/>
      <c r="J555" s="81"/>
      <c r="K555" s="318"/>
      <c r="L555" s="81"/>
      <c r="M555" s="298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spans="1:26" ht="13.5" customHeight="1">
      <c r="A556" s="81"/>
      <c r="G556" s="81"/>
      <c r="H556" s="81"/>
      <c r="I556" s="81"/>
      <c r="J556" s="81"/>
      <c r="K556" s="318"/>
      <c r="L556" s="81"/>
      <c r="M556" s="298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spans="1:26" ht="13.5" customHeight="1">
      <c r="A557" s="81"/>
      <c r="G557" s="81"/>
      <c r="H557" s="81"/>
      <c r="I557" s="81"/>
      <c r="J557" s="81"/>
      <c r="K557" s="318"/>
      <c r="L557" s="81"/>
      <c r="M557" s="298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spans="1:26" ht="13.5" customHeight="1">
      <c r="A558" s="81"/>
      <c r="G558" s="81"/>
      <c r="H558" s="81"/>
      <c r="I558" s="81"/>
      <c r="J558" s="81"/>
      <c r="K558" s="318"/>
      <c r="L558" s="81"/>
      <c r="M558" s="298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spans="1:26" ht="13.5" customHeight="1">
      <c r="A559" s="81"/>
      <c r="G559" s="81"/>
      <c r="H559" s="81"/>
      <c r="I559" s="81"/>
      <c r="J559" s="81"/>
      <c r="K559" s="318"/>
      <c r="L559" s="81"/>
      <c r="M559" s="298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spans="1:26" ht="13.5" customHeight="1">
      <c r="A560" s="81"/>
      <c r="G560" s="81"/>
      <c r="H560" s="81"/>
      <c r="I560" s="81"/>
      <c r="J560" s="81"/>
      <c r="K560" s="318"/>
      <c r="L560" s="81"/>
      <c r="M560" s="298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spans="1:26" ht="13.5" customHeight="1">
      <c r="A561" s="81"/>
      <c r="G561" s="81"/>
      <c r="H561" s="81"/>
      <c r="I561" s="81"/>
      <c r="J561" s="81"/>
      <c r="K561" s="318"/>
      <c r="L561" s="81"/>
      <c r="M561" s="298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spans="1:26" ht="13.5" customHeight="1">
      <c r="A562" s="81"/>
      <c r="G562" s="81"/>
      <c r="H562" s="81"/>
      <c r="I562" s="81"/>
      <c r="J562" s="81"/>
      <c r="K562" s="318"/>
      <c r="L562" s="81"/>
      <c r="M562" s="298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spans="1:26" ht="13.5" customHeight="1">
      <c r="A563" s="81"/>
      <c r="G563" s="81"/>
      <c r="H563" s="81"/>
      <c r="I563" s="81"/>
      <c r="J563" s="81"/>
      <c r="K563" s="318"/>
      <c r="L563" s="81"/>
      <c r="M563" s="298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spans="1:26" ht="13.5" customHeight="1">
      <c r="A564" s="81"/>
      <c r="G564" s="81"/>
      <c r="H564" s="81"/>
      <c r="I564" s="81"/>
      <c r="J564" s="81"/>
      <c r="K564" s="318"/>
      <c r="L564" s="81"/>
      <c r="M564" s="298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spans="1:26" ht="13.5" customHeight="1">
      <c r="A565" s="81"/>
      <c r="G565" s="81"/>
      <c r="H565" s="81"/>
      <c r="I565" s="81"/>
      <c r="J565" s="81"/>
      <c r="K565" s="318"/>
      <c r="L565" s="81"/>
      <c r="M565" s="298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spans="1:26" ht="13.5" customHeight="1">
      <c r="A566" s="81"/>
      <c r="G566" s="81"/>
      <c r="H566" s="81"/>
      <c r="I566" s="81"/>
      <c r="J566" s="81"/>
      <c r="K566" s="318"/>
      <c r="L566" s="81"/>
      <c r="M566" s="298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spans="1:26" ht="13.5" customHeight="1">
      <c r="A567" s="81"/>
      <c r="G567" s="81"/>
      <c r="H567" s="81"/>
      <c r="I567" s="81"/>
      <c r="J567" s="81"/>
      <c r="K567" s="318"/>
      <c r="L567" s="81"/>
      <c r="M567" s="298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spans="1:26" ht="13.5" customHeight="1">
      <c r="A568" s="81"/>
      <c r="G568" s="81"/>
      <c r="H568" s="81"/>
      <c r="I568" s="81"/>
      <c r="J568" s="81"/>
      <c r="K568" s="318"/>
      <c r="L568" s="81"/>
      <c r="M568" s="298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spans="1:26" ht="13.5" customHeight="1">
      <c r="A569" s="81"/>
      <c r="G569" s="81"/>
      <c r="H569" s="81"/>
      <c r="I569" s="81"/>
      <c r="J569" s="81"/>
      <c r="K569" s="318"/>
      <c r="L569" s="81"/>
      <c r="M569" s="298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spans="1:26" ht="13.5" customHeight="1">
      <c r="A570" s="81"/>
      <c r="G570" s="81"/>
      <c r="H570" s="81"/>
      <c r="I570" s="81"/>
      <c r="J570" s="81"/>
      <c r="K570" s="318"/>
      <c r="L570" s="81"/>
      <c r="M570" s="298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spans="1:26" ht="13.5" customHeight="1">
      <c r="A571" s="81"/>
      <c r="G571" s="81"/>
      <c r="H571" s="81"/>
      <c r="I571" s="81"/>
      <c r="J571" s="81"/>
      <c r="K571" s="318"/>
      <c r="L571" s="81"/>
      <c r="M571" s="298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spans="1:26" ht="13.5" customHeight="1">
      <c r="A572" s="81"/>
      <c r="G572" s="81"/>
      <c r="H572" s="81"/>
      <c r="I572" s="81"/>
      <c r="J572" s="81"/>
      <c r="K572" s="318"/>
      <c r="L572" s="81"/>
      <c r="M572" s="298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spans="1:26" ht="13.5" customHeight="1">
      <c r="A573" s="81"/>
      <c r="G573" s="81"/>
      <c r="H573" s="81"/>
      <c r="I573" s="81"/>
      <c r="J573" s="81"/>
      <c r="K573" s="318"/>
      <c r="L573" s="81"/>
      <c r="M573" s="298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spans="1:26" ht="13.5" customHeight="1">
      <c r="A574" s="81"/>
      <c r="G574" s="81"/>
      <c r="H574" s="81"/>
      <c r="I574" s="81"/>
      <c r="J574" s="81"/>
      <c r="K574" s="318"/>
      <c r="L574" s="81"/>
      <c r="M574" s="298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spans="1:26" ht="13.5" customHeight="1">
      <c r="A575" s="81"/>
      <c r="G575" s="81"/>
      <c r="H575" s="81"/>
      <c r="I575" s="81"/>
      <c r="J575" s="81"/>
      <c r="K575" s="318"/>
      <c r="L575" s="81"/>
      <c r="M575" s="298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spans="1:26" ht="13.5" customHeight="1">
      <c r="A576" s="81"/>
      <c r="G576" s="81"/>
      <c r="H576" s="81"/>
      <c r="I576" s="81"/>
      <c r="J576" s="81"/>
      <c r="K576" s="318"/>
      <c r="L576" s="81"/>
      <c r="M576" s="298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spans="1:26" ht="13.5" customHeight="1">
      <c r="A577" s="81"/>
      <c r="G577" s="81"/>
      <c r="H577" s="81"/>
      <c r="I577" s="81"/>
      <c r="J577" s="81"/>
      <c r="K577" s="318"/>
      <c r="L577" s="81"/>
      <c r="M577" s="298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spans="1:26" ht="13.5" customHeight="1">
      <c r="A578" s="81"/>
      <c r="G578" s="81"/>
      <c r="H578" s="81"/>
      <c r="I578" s="81"/>
      <c r="J578" s="81"/>
      <c r="K578" s="318"/>
      <c r="L578" s="81"/>
      <c r="M578" s="298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spans="1:26" ht="13.5" customHeight="1">
      <c r="A579" s="81"/>
      <c r="G579" s="81"/>
      <c r="H579" s="81"/>
      <c r="I579" s="81"/>
      <c r="J579" s="81"/>
      <c r="K579" s="318"/>
      <c r="L579" s="81"/>
      <c r="M579" s="298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spans="1:26" ht="13.5" customHeight="1">
      <c r="A580" s="81"/>
      <c r="G580" s="81"/>
      <c r="H580" s="81"/>
      <c r="I580" s="81"/>
      <c r="J580" s="81"/>
      <c r="K580" s="318"/>
      <c r="L580" s="81"/>
      <c r="M580" s="298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spans="1:26" ht="13.5" customHeight="1">
      <c r="A581" s="81"/>
      <c r="G581" s="81"/>
      <c r="H581" s="81"/>
      <c r="I581" s="81"/>
      <c r="J581" s="81"/>
      <c r="K581" s="318"/>
      <c r="L581" s="81"/>
      <c r="M581" s="298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spans="1:26" ht="13.5" customHeight="1">
      <c r="A582" s="81"/>
      <c r="G582" s="81"/>
      <c r="H582" s="81"/>
      <c r="I582" s="81"/>
      <c r="J582" s="81"/>
      <c r="K582" s="318"/>
      <c r="L582" s="81"/>
      <c r="M582" s="298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spans="1:26" ht="13.5" customHeight="1">
      <c r="A583" s="81"/>
      <c r="G583" s="81"/>
      <c r="H583" s="81"/>
      <c r="I583" s="81"/>
      <c r="J583" s="81"/>
      <c r="K583" s="318"/>
      <c r="L583" s="81"/>
      <c r="M583" s="298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spans="1:26" ht="13.5" customHeight="1">
      <c r="A584" s="81"/>
      <c r="G584" s="81"/>
      <c r="H584" s="81"/>
      <c r="I584" s="81"/>
      <c r="J584" s="81"/>
      <c r="K584" s="318"/>
      <c r="L584" s="81"/>
      <c r="M584" s="298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spans="1:26" ht="13.5" customHeight="1">
      <c r="A585" s="81"/>
      <c r="G585" s="81"/>
      <c r="H585" s="81"/>
      <c r="I585" s="81"/>
      <c r="J585" s="81"/>
      <c r="K585" s="318"/>
      <c r="L585" s="81"/>
      <c r="M585" s="298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spans="1:26" ht="13.5" customHeight="1">
      <c r="A586" s="81"/>
      <c r="G586" s="81"/>
      <c r="H586" s="81"/>
      <c r="I586" s="81"/>
      <c r="J586" s="81"/>
      <c r="K586" s="318"/>
      <c r="L586" s="81"/>
      <c r="M586" s="298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spans="1:26" ht="13.5" customHeight="1">
      <c r="A587" s="81"/>
      <c r="G587" s="81"/>
      <c r="H587" s="81"/>
      <c r="I587" s="81"/>
      <c r="J587" s="81"/>
      <c r="K587" s="318"/>
      <c r="L587" s="81"/>
      <c r="M587" s="298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spans="1:26" ht="13.5" customHeight="1">
      <c r="A588" s="81"/>
      <c r="G588" s="81"/>
      <c r="H588" s="81"/>
      <c r="I588" s="81"/>
      <c r="J588" s="81"/>
      <c r="K588" s="318"/>
      <c r="L588" s="81"/>
      <c r="M588" s="298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spans="1:26" ht="13.5" customHeight="1">
      <c r="A589" s="81"/>
      <c r="G589" s="81"/>
      <c r="H589" s="81"/>
      <c r="I589" s="81"/>
      <c r="J589" s="81"/>
      <c r="K589" s="318"/>
      <c r="L589" s="81"/>
      <c r="M589" s="298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spans="1:26" ht="13.5" customHeight="1">
      <c r="A590" s="81"/>
      <c r="G590" s="81"/>
      <c r="H590" s="81"/>
      <c r="I590" s="81"/>
      <c r="J590" s="81"/>
      <c r="K590" s="318"/>
      <c r="L590" s="81"/>
      <c r="M590" s="298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spans="1:26" ht="13.5" customHeight="1">
      <c r="A591" s="81"/>
      <c r="G591" s="81"/>
      <c r="H591" s="81"/>
      <c r="I591" s="81"/>
      <c r="J591" s="81"/>
      <c r="K591" s="318"/>
      <c r="L591" s="81"/>
      <c r="M591" s="298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spans="1:26" ht="13.5" customHeight="1">
      <c r="A592" s="81"/>
      <c r="G592" s="81"/>
      <c r="H592" s="81"/>
      <c r="I592" s="81"/>
      <c r="J592" s="81"/>
      <c r="K592" s="318"/>
      <c r="L592" s="81"/>
      <c r="M592" s="298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spans="1:26" ht="13.5" customHeight="1">
      <c r="A593" s="81"/>
      <c r="G593" s="81"/>
      <c r="H593" s="81"/>
      <c r="I593" s="81"/>
      <c r="J593" s="81"/>
      <c r="K593" s="318"/>
      <c r="L593" s="81"/>
      <c r="M593" s="298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spans="1:26" ht="13.5" customHeight="1">
      <c r="A594" s="81"/>
      <c r="G594" s="81"/>
      <c r="H594" s="81"/>
      <c r="I594" s="81"/>
      <c r="J594" s="81"/>
      <c r="K594" s="318"/>
      <c r="L594" s="81"/>
      <c r="M594" s="298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spans="1:26" ht="13.5" customHeight="1">
      <c r="A595" s="81"/>
      <c r="G595" s="81"/>
      <c r="H595" s="81"/>
      <c r="I595" s="81"/>
      <c r="J595" s="81"/>
      <c r="K595" s="318"/>
      <c r="L595" s="81"/>
      <c r="M595" s="298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spans="1:26" ht="13.5" customHeight="1">
      <c r="A596" s="81"/>
      <c r="G596" s="81"/>
      <c r="H596" s="81"/>
      <c r="I596" s="81"/>
      <c r="J596" s="81"/>
      <c r="K596" s="318"/>
      <c r="L596" s="81"/>
      <c r="M596" s="298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spans="1:26" ht="13.5" customHeight="1">
      <c r="A597" s="81"/>
      <c r="G597" s="81"/>
      <c r="H597" s="81"/>
      <c r="I597" s="81"/>
      <c r="J597" s="81"/>
      <c r="K597" s="318"/>
      <c r="L597" s="81"/>
      <c r="M597" s="298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spans="1:26" ht="13.5" customHeight="1">
      <c r="A598" s="81"/>
      <c r="G598" s="81"/>
      <c r="H598" s="81"/>
      <c r="I598" s="81"/>
      <c r="J598" s="81"/>
      <c r="K598" s="318"/>
      <c r="L598" s="81"/>
      <c r="M598" s="298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spans="1:26" ht="13.5" customHeight="1">
      <c r="A599" s="81"/>
      <c r="G599" s="81"/>
      <c r="H599" s="81"/>
      <c r="I599" s="81"/>
      <c r="J599" s="81"/>
      <c r="K599" s="318"/>
      <c r="L599" s="81"/>
      <c r="M599" s="298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spans="1:26" ht="13.5" customHeight="1">
      <c r="A600" s="81"/>
      <c r="G600" s="81"/>
      <c r="H600" s="81"/>
      <c r="I600" s="81"/>
      <c r="J600" s="81"/>
      <c r="K600" s="318"/>
      <c r="L600" s="81"/>
      <c r="M600" s="298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spans="1:26" ht="13.5" customHeight="1">
      <c r="A601" s="81"/>
      <c r="G601" s="81"/>
      <c r="H601" s="81"/>
      <c r="I601" s="81"/>
      <c r="J601" s="81"/>
      <c r="K601" s="318"/>
      <c r="L601" s="81"/>
      <c r="M601" s="298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spans="1:26" ht="13.5" customHeight="1">
      <c r="A602" s="81"/>
      <c r="G602" s="81"/>
      <c r="H602" s="81"/>
      <c r="I602" s="81"/>
      <c r="J602" s="81"/>
      <c r="K602" s="318"/>
      <c r="L602" s="81"/>
      <c r="M602" s="298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spans="1:26" ht="13.5" customHeight="1">
      <c r="A603" s="81"/>
      <c r="G603" s="81"/>
      <c r="H603" s="81"/>
      <c r="I603" s="81"/>
      <c r="J603" s="81"/>
      <c r="K603" s="318"/>
      <c r="L603" s="81"/>
      <c r="M603" s="298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spans="1:26" ht="13.5" customHeight="1">
      <c r="A604" s="81"/>
      <c r="G604" s="81"/>
      <c r="H604" s="81"/>
      <c r="I604" s="81"/>
      <c r="J604" s="81"/>
      <c r="K604" s="318"/>
      <c r="L604" s="81"/>
      <c r="M604" s="298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spans="1:26" ht="13.5" customHeight="1">
      <c r="A605" s="81"/>
      <c r="G605" s="81"/>
      <c r="H605" s="81"/>
      <c r="I605" s="81"/>
      <c r="J605" s="81"/>
      <c r="K605" s="318"/>
      <c r="L605" s="81"/>
      <c r="M605" s="298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spans="1:26" ht="13.5" customHeight="1">
      <c r="A606" s="81"/>
      <c r="G606" s="81"/>
      <c r="H606" s="81"/>
      <c r="I606" s="81"/>
      <c r="J606" s="81"/>
      <c r="K606" s="318"/>
      <c r="L606" s="81"/>
      <c r="M606" s="298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spans="1:26" ht="13.5" customHeight="1">
      <c r="A607" s="81"/>
      <c r="G607" s="81"/>
      <c r="H607" s="81"/>
      <c r="I607" s="81"/>
      <c r="J607" s="81"/>
      <c r="K607" s="318"/>
      <c r="L607" s="81"/>
      <c r="M607" s="298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spans="1:26" ht="13.5" customHeight="1">
      <c r="A608" s="81"/>
      <c r="G608" s="81"/>
      <c r="H608" s="81"/>
      <c r="I608" s="81"/>
      <c r="J608" s="81"/>
      <c r="K608" s="318"/>
      <c r="L608" s="81"/>
      <c r="M608" s="298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spans="1:26" ht="13.5" customHeight="1">
      <c r="A609" s="81"/>
      <c r="G609" s="81"/>
      <c r="H609" s="81"/>
      <c r="I609" s="81"/>
      <c r="J609" s="81"/>
      <c r="K609" s="318"/>
      <c r="L609" s="81"/>
      <c r="M609" s="298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spans="1:26" ht="13.5" customHeight="1">
      <c r="A610" s="81"/>
      <c r="G610" s="81"/>
      <c r="H610" s="81"/>
      <c r="I610" s="81"/>
      <c r="J610" s="81"/>
      <c r="K610" s="318"/>
      <c r="L610" s="81"/>
      <c r="M610" s="298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spans="1:26" ht="13.5" customHeight="1">
      <c r="A611" s="81"/>
      <c r="G611" s="81"/>
      <c r="H611" s="81"/>
      <c r="I611" s="81"/>
      <c r="J611" s="81"/>
      <c r="K611" s="318"/>
      <c r="L611" s="81"/>
      <c r="M611" s="298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spans="1:26" ht="13.5" customHeight="1">
      <c r="A612" s="81"/>
      <c r="G612" s="81"/>
      <c r="H612" s="81"/>
      <c r="I612" s="81"/>
      <c r="J612" s="81"/>
      <c r="K612" s="318"/>
      <c r="L612" s="81"/>
      <c r="M612" s="298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spans="1:26" ht="13.5" customHeight="1">
      <c r="A613" s="81"/>
      <c r="G613" s="81"/>
      <c r="H613" s="81"/>
      <c r="I613" s="81"/>
      <c r="J613" s="81"/>
      <c r="K613" s="318"/>
      <c r="L613" s="81"/>
      <c r="M613" s="298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spans="1:26" ht="13.5" customHeight="1">
      <c r="A614" s="81"/>
      <c r="G614" s="81"/>
      <c r="H614" s="81"/>
      <c r="I614" s="81"/>
      <c r="J614" s="81"/>
      <c r="K614" s="318"/>
      <c r="L614" s="81"/>
      <c r="M614" s="298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spans="1:26" ht="13.5" customHeight="1">
      <c r="A615" s="81"/>
      <c r="G615" s="81"/>
      <c r="H615" s="81"/>
      <c r="I615" s="81"/>
      <c r="J615" s="81"/>
      <c r="K615" s="318"/>
      <c r="L615" s="81"/>
      <c r="M615" s="298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spans="1:26" ht="13.5" customHeight="1">
      <c r="A616" s="81"/>
      <c r="G616" s="81"/>
      <c r="H616" s="81"/>
      <c r="I616" s="81"/>
      <c r="J616" s="81"/>
      <c r="K616" s="318"/>
      <c r="L616" s="81"/>
      <c r="M616" s="298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spans="1:26" ht="13.5" customHeight="1">
      <c r="A617" s="81"/>
      <c r="G617" s="81"/>
      <c r="H617" s="81"/>
      <c r="I617" s="81"/>
      <c r="J617" s="81"/>
      <c r="K617" s="318"/>
      <c r="L617" s="81"/>
      <c r="M617" s="298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spans="1:26" ht="13.5" customHeight="1">
      <c r="A618" s="81"/>
      <c r="G618" s="81"/>
      <c r="H618" s="81"/>
      <c r="I618" s="81"/>
      <c r="J618" s="81"/>
      <c r="K618" s="318"/>
      <c r="L618" s="81"/>
      <c r="M618" s="298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spans="1:26" ht="13.5" customHeight="1">
      <c r="A619" s="81"/>
      <c r="G619" s="81"/>
      <c r="H619" s="81"/>
      <c r="I619" s="81"/>
      <c r="J619" s="81"/>
      <c r="K619" s="318"/>
      <c r="L619" s="81"/>
      <c r="M619" s="298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spans="1:26" ht="13.5" customHeight="1">
      <c r="A620" s="81"/>
      <c r="G620" s="81"/>
      <c r="H620" s="81"/>
      <c r="I620" s="81"/>
      <c r="J620" s="81"/>
      <c r="K620" s="318"/>
      <c r="L620" s="81"/>
      <c r="M620" s="298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spans="1:26" ht="13.5" customHeight="1">
      <c r="A621" s="81"/>
      <c r="G621" s="81"/>
      <c r="H621" s="81"/>
      <c r="I621" s="81"/>
      <c r="J621" s="81"/>
      <c r="K621" s="318"/>
      <c r="L621" s="81"/>
      <c r="M621" s="298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spans="1:26" ht="13.5" customHeight="1">
      <c r="A622" s="81"/>
      <c r="G622" s="81"/>
      <c r="H622" s="81"/>
      <c r="I622" s="81"/>
      <c r="J622" s="81"/>
      <c r="K622" s="318"/>
      <c r="L622" s="81"/>
      <c r="M622" s="298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spans="1:26" ht="13.5" customHeight="1">
      <c r="A623" s="81"/>
      <c r="G623" s="81"/>
      <c r="H623" s="81"/>
      <c r="I623" s="81"/>
      <c r="J623" s="81"/>
      <c r="K623" s="318"/>
      <c r="L623" s="81"/>
      <c r="M623" s="298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spans="1:26" ht="13.5" customHeight="1">
      <c r="A624" s="81"/>
      <c r="G624" s="81"/>
      <c r="H624" s="81"/>
      <c r="I624" s="81"/>
      <c r="J624" s="81"/>
      <c r="K624" s="318"/>
      <c r="L624" s="81"/>
      <c r="M624" s="298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spans="1:26" ht="13.5" customHeight="1">
      <c r="A625" s="81"/>
      <c r="G625" s="81"/>
      <c r="H625" s="81"/>
      <c r="I625" s="81"/>
      <c r="J625" s="81"/>
      <c r="K625" s="318"/>
      <c r="L625" s="81"/>
      <c r="M625" s="298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spans="1:26" ht="13.5" customHeight="1">
      <c r="A626" s="81"/>
      <c r="G626" s="81"/>
      <c r="H626" s="81"/>
      <c r="I626" s="81"/>
      <c r="J626" s="81"/>
      <c r="K626" s="318"/>
      <c r="L626" s="81"/>
      <c r="M626" s="298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spans="1:26" ht="13.5" customHeight="1">
      <c r="A627" s="81"/>
      <c r="G627" s="81"/>
      <c r="H627" s="81"/>
      <c r="I627" s="81"/>
      <c r="J627" s="81"/>
      <c r="K627" s="318"/>
      <c r="L627" s="81"/>
      <c r="M627" s="298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spans="1:26" ht="13.5" customHeight="1">
      <c r="A628" s="81"/>
      <c r="G628" s="81"/>
      <c r="H628" s="81"/>
      <c r="I628" s="81"/>
      <c r="J628" s="81"/>
      <c r="K628" s="318"/>
      <c r="L628" s="81"/>
      <c r="M628" s="298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spans="1:26" ht="13.5" customHeight="1">
      <c r="A629" s="81"/>
      <c r="G629" s="81"/>
      <c r="H629" s="81"/>
      <c r="I629" s="81"/>
      <c r="J629" s="81"/>
      <c r="K629" s="318"/>
      <c r="L629" s="81"/>
      <c r="M629" s="298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spans="1:26" ht="13.5" customHeight="1">
      <c r="A630" s="81"/>
      <c r="G630" s="81"/>
      <c r="H630" s="81"/>
      <c r="I630" s="81"/>
      <c r="J630" s="81"/>
      <c r="K630" s="318"/>
      <c r="L630" s="81"/>
      <c r="M630" s="298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spans="1:26" ht="13.5" customHeight="1">
      <c r="A631" s="81"/>
      <c r="G631" s="81"/>
      <c r="H631" s="81"/>
      <c r="I631" s="81"/>
      <c r="J631" s="81"/>
      <c r="K631" s="318"/>
      <c r="L631" s="81"/>
      <c r="M631" s="298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spans="1:26" ht="13.5" customHeight="1">
      <c r="A632" s="81"/>
      <c r="G632" s="81"/>
      <c r="H632" s="81"/>
      <c r="I632" s="81"/>
      <c r="J632" s="81"/>
      <c r="K632" s="318"/>
      <c r="L632" s="81"/>
      <c r="M632" s="298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spans="1:26" ht="13.5" customHeight="1">
      <c r="A633" s="81"/>
      <c r="G633" s="81"/>
      <c r="H633" s="81"/>
      <c r="I633" s="81"/>
      <c r="J633" s="81"/>
      <c r="K633" s="318"/>
      <c r="L633" s="81"/>
      <c r="M633" s="298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spans="1:26" ht="13.5" customHeight="1">
      <c r="A634" s="81"/>
      <c r="G634" s="81"/>
      <c r="H634" s="81"/>
      <c r="I634" s="81"/>
      <c r="J634" s="81"/>
      <c r="K634" s="318"/>
      <c r="L634" s="81"/>
      <c r="M634" s="298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spans="1:26" ht="13.5" customHeight="1">
      <c r="A635" s="81"/>
      <c r="G635" s="81"/>
      <c r="H635" s="81"/>
      <c r="I635" s="81"/>
      <c r="J635" s="81"/>
      <c r="K635" s="318"/>
      <c r="L635" s="81"/>
      <c r="M635" s="298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spans="1:26" ht="13.5" customHeight="1">
      <c r="A636" s="81"/>
      <c r="G636" s="81"/>
      <c r="H636" s="81"/>
      <c r="I636" s="81"/>
      <c r="J636" s="81"/>
      <c r="K636" s="318"/>
      <c r="L636" s="81"/>
      <c r="M636" s="298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spans="1:26" ht="13.5" customHeight="1">
      <c r="A637" s="81"/>
      <c r="G637" s="81"/>
      <c r="H637" s="81"/>
      <c r="I637" s="81"/>
      <c r="J637" s="81"/>
      <c r="K637" s="318"/>
      <c r="L637" s="81"/>
      <c r="M637" s="298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spans="1:26" ht="13.5" customHeight="1">
      <c r="A638" s="81"/>
      <c r="G638" s="81"/>
      <c r="H638" s="81"/>
      <c r="I638" s="81"/>
      <c r="J638" s="81"/>
      <c r="K638" s="318"/>
      <c r="L638" s="81"/>
      <c r="M638" s="298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spans="1:26" ht="13.5" customHeight="1">
      <c r="A639" s="81"/>
      <c r="G639" s="81"/>
      <c r="H639" s="81"/>
      <c r="I639" s="81"/>
      <c r="J639" s="81"/>
      <c r="K639" s="318"/>
      <c r="L639" s="81"/>
      <c r="M639" s="298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spans="1:26" ht="13.5" customHeight="1">
      <c r="A640" s="81"/>
      <c r="G640" s="81"/>
      <c r="H640" s="81"/>
      <c r="I640" s="81"/>
      <c r="J640" s="81"/>
      <c r="K640" s="318"/>
      <c r="L640" s="81"/>
      <c r="M640" s="298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spans="1:26" ht="13.5" customHeight="1">
      <c r="A641" s="81"/>
      <c r="G641" s="81"/>
      <c r="H641" s="81"/>
      <c r="I641" s="81"/>
      <c r="J641" s="81"/>
      <c r="K641" s="318"/>
      <c r="L641" s="81"/>
      <c r="M641" s="298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spans="1:26" ht="13.5" customHeight="1">
      <c r="A642" s="81"/>
      <c r="G642" s="81"/>
      <c r="H642" s="81"/>
      <c r="I642" s="81"/>
      <c r="J642" s="81"/>
      <c r="K642" s="318"/>
      <c r="L642" s="81"/>
      <c r="M642" s="298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spans="1:26" ht="13.5" customHeight="1">
      <c r="A643" s="81"/>
      <c r="G643" s="81"/>
      <c r="H643" s="81"/>
      <c r="I643" s="81"/>
      <c r="J643" s="81"/>
      <c r="K643" s="318"/>
      <c r="L643" s="81"/>
      <c r="M643" s="298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spans="1:26" ht="13.5" customHeight="1">
      <c r="A644" s="81"/>
      <c r="G644" s="81"/>
      <c r="H644" s="81"/>
      <c r="I644" s="81"/>
      <c r="J644" s="81"/>
      <c r="K644" s="318"/>
      <c r="L644" s="81"/>
      <c r="M644" s="298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spans="1:26" ht="13.5" customHeight="1">
      <c r="A645" s="81"/>
      <c r="G645" s="81"/>
      <c r="H645" s="81"/>
      <c r="I645" s="81"/>
      <c r="J645" s="81"/>
      <c r="K645" s="318"/>
      <c r="L645" s="81"/>
      <c r="M645" s="298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spans="1:26" ht="13.5" customHeight="1">
      <c r="A646" s="81"/>
      <c r="G646" s="81"/>
      <c r="H646" s="81"/>
      <c r="I646" s="81"/>
      <c r="J646" s="81"/>
      <c r="K646" s="318"/>
      <c r="L646" s="81"/>
      <c r="M646" s="298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spans="1:26" ht="13.5" customHeight="1">
      <c r="A647" s="81"/>
      <c r="G647" s="81"/>
      <c r="H647" s="81"/>
      <c r="I647" s="81"/>
      <c r="J647" s="81"/>
      <c r="K647" s="318"/>
      <c r="L647" s="81"/>
      <c r="M647" s="298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spans="1:26" ht="13.5" customHeight="1">
      <c r="A648" s="81"/>
      <c r="G648" s="81"/>
      <c r="H648" s="81"/>
      <c r="I648" s="81"/>
      <c r="J648" s="81"/>
      <c r="K648" s="318"/>
      <c r="L648" s="81"/>
      <c r="M648" s="298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spans="1:26" ht="13.5" customHeight="1">
      <c r="A649" s="81"/>
      <c r="G649" s="81"/>
      <c r="H649" s="81"/>
      <c r="I649" s="81"/>
      <c r="J649" s="81"/>
      <c r="K649" s="318"/>
      <c r="L649" s="81"/>
      <c r="M649" s="298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spans="1:26" ht="13.5" customHeight="1">
      <c r="A650" s="81"/>
      <c r="G650" s="81"/>
      <c r="H650" s="81"/>
      <c r="I650" s="81"/>
      <c r="J650" s="81"/>
      <c r="K650" s="318"/>
      <c r="L650" s="81"/>
      <c r="M650" s="298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spans="1:26" ht="13.5" customHeight="1">
      <c r="A651" s="81"/>
      <c r="G651" s="81"/>
      <c r="H651" s="81"/>
      <c r="I651" s="81"/>
      <c r="J651" s="81"/>
      <c r="K651" s="318"/>
      <c r="L651" s="81"/>
      <c r="M651" s="298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spans="1:26" ht="13.5" customHeight="1">
      <c r="A652" s="81"/>
      <c r="G652" s="81"/>
      <c r="H652" s="81"/>
      <c r="I652" s="81"/>
      <c r="J652" s="81"/>
      <c r="K652" s="318"/>
      <c r="L652" s="81"/>
      <c r="M652" s="298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spans="1:26" ht="13.5" customHeight="1">
      <c r="A653" s="81"/>
      <c r="G653" s="81"/>
      <c r="H653" s="81"/>
      <c r="I653" s="81"/>
      <c r="J653" s="81"/>
      <c r="K653" s="318"/>
      <c r="L653" s="81"/>
      <c r="M653" s="298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spans="1:26" ht="13.5" customHeight="1">
      <c r="A654" s="81"/>
      <c r="G654" s="81"/>
      <c r="H654" s="81"/>
      <c r="I654" s="81"/>
      <c r="J654" s="81"/>
      <c r="K654" s="318"/>
      <c r="L654" s="81"/>
      <c r="M654" s="298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spans="1:26" ht="13.5" customHeight="1">
      <c r="A655" s="81"/>
      <c r="G655" s="81"/>
      <c r="H655" s="81"/>
      <c r="I655" s="81"/>
      <c r="J655" s="81"/>
      <c r="K655" s="318"/>
      <c r="L655" s="81"/>
      <c r="M655" s="298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spans="1:26" ht="13.5" customHeight="1">
      <c r="A656" s="81"/>
      <c r="G656" s="81"/>
      <c r="H656" s="81"/>
      <c r="I656" s="81"/>
      <c r="J656" s="81"/>
      <c r="K656" s="318"/>
      <c r="L656" s="81"/>
      <c r="M656" s="298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spans="1:26" ht="13.5" customHeight="1">
      <c r="A657" s="81"/>
      <c r="G657" s="81"/>
      <c r="H657" s="81"/>
      <c r="I657" s="81"/>
      <c r="J657" s="81"/>
      <c r="K657" s="318"/>
      <c r="L657" s="81"/>
      <c r="M657" s="298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spans="1:26" ht="13.5" customHeight="1">
      <c r="A658" s="81"/>
      <c r="G658" s="81"/>
      <c r="H658" s="81"/>
      <c r="I658" s="81"/>
      <c r="J658" s="81"/>
      <c r="K658" s="318"/>
      <c r="L658" s="81"/>
      <c r="M658" s="298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spans="1:26" ht="13.5" customHeight="1">
      <c r="A659" s="81"/>
      <c r="G659" s="81"/>
      <c r="H659" s="81"/>
      <c r="I659" s="81"/>
      <c r="J659" s="81"/>
      <c r="K659" s="318"/>
      <c r="L659" s="81"/>
      <c r="M659" s="298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spans="1:26" ht="13.5" customHeight="1">
      <c r="A660" s="81"/>
      <c r="G660" s="81"/>
      <c r="H660" s="81"/>
      <c r="I660" s="81"/>
      <c r="J660" s="81"/>
      <c r="K660" s="318"/>
      <c r="L660" s="81"/>
      <c r="M660" s="298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spans="1:26" ht="13.5" customHeight="1">
      <c r="A661" s="81"/>
      <c r="G661" s="81"/>
      <c r="H661" s="81"/>
      <c r="I661" s="81"/>
      <c r="J661" s="81"/>
      <c r="K661" s="318"/>
      <c r="L661" s="81"/>
      <c r="M661" s="298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spans="1:26" ht="13.5" customHeight="1">
      <c r="A662" s="81"/>
      <c r="G662" s="81"/>
      <c r="H662" s="81"/>
      <c r="I662" s="81"/>
      <c r="J662" s="81"/>
      <c r="K662" s="318"/>
      <c r="L662" s="81"/>
      <c r="M662" s="298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spans="1:26" ht="13.5" customHeight="1">
      <c r="A663" s="81"/>
      <c r="G663" s="81"/>
      <c r="H663" s="81"/>
      <c r="I663" s="81"/>
      <c r="J663" s="81"/>
      <c r="K663" s="318"/>
      <c r="L663" s="81"/>
      <c r="M663" s="298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spans="1:26" ht="13.5" customHeight="1">
      <c r="A664" s="81"/>
      <c r="G664" s="81"/>
      <c r="H664" s="81"/>
      <c r="I664" s="81"/>
      <c r="J664" s="81"/>
      <c r="K664" s="318"/>
      <c r="L664" s="81"/>
      <c r="M664" s="298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spans="1:26" ht="13.5" customHeight="1">
      <c r="A665" s="81"/>
      <c r="G665" s="81"/>
      <c r="H665" s="81"/>
      <c r="I665" s="81"/>
      <c r="J665" s="81"/>
      <c r="K665" s="318"/>
      <c r="L665" s="81"/>
      <c r="M665" s="298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spans="1:26" ht="13.5" customHeight="1">
      <c r="A666" s="81"/>
      <c r="G666" s="81"/>
      <c r="H666" s="81"/>
      <c r="I666" s="81"/>
      <c r="J666" s="81"/>
      <c r="K666" s="318"/>
      <c r="L666" s="81"/>
      <c r="M666" s="298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spans="1:26" ht="13.5" customHeight="1">
      <c r="A667" s="81"/>
      <c r="G667" s="81"/>
      <c r="H667" s="81"/>
      <c r="I667" s="81"/>
      <c r="J667" s="81"/>
      <c r="K667" s="318"/>
      <c r="L667" s="81"/>
      <c r="M667" s="298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spans="1:26" ht="13.5" customHeight="1">
      <c r="A668" s="81"/>
      <c r="G668" s="81"/>
      <c r="H668" s="81"/>
      <c r="I668" s="81"/>
      <c r="J668" s="81"/>
      <c r="K668" s="318"/>
      <c r="L668" s="81"/>
      <c r="M668" s="298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spans="1:26" ht="13.5" customHeight="1">
      <c r="A669" s="81"/>
      <c r="G669" s="81"/>
      <c r="H669" s="81"/>
      <c r="I669" s="81"/>
      <c r="J669" s="81"/>
      <c r="K669" s="318"/>
      <c r="L669" s="81"/>
      <c r="M669" s="298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spans="1:26" ht="13.5" customHeight="1">
      <c r="A670" s="81"/>
      <c r="G670" s="81"/>
      <c r="H670" s="81"/>
      <c r="I670" s="81"/>
      <c r="J670" s="81"/>
      <c r="K670" s="318"/>
      <c r="L670" s="81"/>
      <c r="M670" s="298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spans="1:26" ht="13.5" customHeight="1">
      <c r="A671" s="81"/>
      <c r="G671" s="81"/>
      <c r="H671" s="81"/>
      <c r="I671" s="81"/>
      <c r="J671" s="81"/>
      <c r="K671" s="318"/>
      <c r="L671" s="81"/>
      <c r="M671" s="298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spans="1:26" ht="13.5" customHeight="1">
      <c r="A672" s="81"/>
      <c r="G672" s="81"/>
      <c r="H672" s="81"/>
      <c r="I672" s="81"/>
      <c r="J672" s="81"/>
      <c r="K672" s="318"/>
      <c r="L672" s="81"/>
      <c r="M672" s="298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spans="1:26" ht="13.5" customHeight="1">
      <c r="A673" s="81"/>
      <c r="G673" s="81"/>
      <c r="H673" s="81"/>
      <c r="I673" s="81"/>
      <c r="J673" s="81"/>
      <c r="K673" s="318"/>
      <c r="L673" s="81"/>
      <c r="M673" s="298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spans="1:26" ht="13.5" customHeight="1">
      <c r="A674" s="81"/>
      <c r="G674" s="81"/>
      <c r="H674" s="81"/>
      <c r="I674" s="81"/>
      <c r="J674" s="81"/>
      <c r="K674" s="318"/>
      <c r="L674" s="81"/>
      <c r="M674" s="298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spans="1:26" ht="13.5" customHeight="1">
      <c r="A675" s="81"/>
      <c r="G675" s="81"/>
      <c r="H675" s="81"/>
      <c r="I675" s="81"/>
      <c r="J675" s="81"/>
      <c r="K675" s="318"/>
      <c r="L675" s="81"/>
      <c r="M675" s="298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spans="1:26" ht="13.5" customHeight="1">
      <c r="A676" s="81"/>
      <c r="G676" s="81"/>
      <c r="H676" s="81"/>
      <c r="I676" s="81"/>
      <c r="J676" s="81"/>
      <c r="K676" s="318"/>
      <c r="L676" s="81"/>
      <c r="M676" s="298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spans="1:26" ht="13.5" customHeight="1">
      <c r="A677" s="81"/>
      <c r="G677" s="81"/>
      <c r="H677" s="81"/>
      <c r="I677" s="81"/>
      <c r="J677" s="81"/>
      <c r="K677" s="318"/>
      <c r="L677" s="81"/>
      <c r="M677" s="298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spans="1:26" ht="13.5" customHeight="1">
      <c r="A678" s="81"/>
      <c r="G678" s="81"/>
      <c r="H678" s="81"/>
      <c r="I678" s="81"/>
      <c r="J678" s="81"/>
      <c r="K678" s="318"/>
      <c r="L678" s="81"/>
      <c r="M678" s="298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spans="1:26" ht="13.5" customHeight="1">
      <c r="A679" s="81"/>
      <c r="G679" s="81"/>
      <c r="H679" s="81"/>
      <c r="I679" s="81"/>
      <c r="J679" s="81"/>
      <c r="K679" s="318"/>
      <c r="L679" s="81"/>
      <c r="M679" s="298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spans="1:26" ht="13.5" customHeight="1">
      <c r="A680" s="81"/>
      <c r="G680" s="81"/>
      <c r="H680" s="81"/>
      <c r="I680" s="81"/>
      <c r="J680" s="81"/>
      <c r="K680" s="318"/>
      <c r="L680" s="81"/>
      <c r="M680" s="298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spans="1:26" ht="13.5" customHeight="1">
      <c r="A681" s="81"/>
      <c r="G681" s="81"/>
      <c r="H681" s="81"/>
      <c r="I681" s="81"/>
      <c r="J681" s="81"/>
      <c r="K681" s="318"/>
      <c r="L681" s="81"/>
      <c r="M681" s="298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spans="1:26" ht="13.5" customHeight="1">
      <c r="A682" s="81"/>
      <c r="G682" s="81"/>
      <c r="H682" s="81"/>
      <c r="I682" s="81"/>
      <c r="J682" s="81"/>
      <c r="K682" s="318"/>
      <c r="L682" s="81"/>
      <c r="M682" s="298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spans="1:26" ht="13.5" customHeight="1">
      <c r="A683" s="81"/>
      <c r="G683" s="81"/>
      <c r="H683" s="81"/>
      <c r="I683" s="81"/>
      <c r="J683" s="81"/>
      <c r="K683" s="318"/>
      <c r="L683" s="81"/>
      <c r="M683" s="298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spans="1:26" ht="13.5" customHeight="1">
      <c r="A684" s="81"/>
      <c r="G684" s="81"/>
      <c r="H684" s="81"/>
      <c r="I684" s="81"/>
      <c r="J684" s="81"/>
      <c r="K684" s="318"/>
      <c r="L684" s="81"/>
      <c r="M684" s="298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spans="1:26" ht="13.5" customHeight="1">
      <c r="A685" s="81"/>
      <c r="G685" s="81"/>
      <c r="H685" s="81"/>
      <c r="I685" s="81"/>
      <c r="J685" s="81"/>
      <c r="K685" s="318"/>
      <c r="L685" s="81"/>
      <c r="M685" s="298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spans="1:26" ht="13.5" customHeight="1">
      <c r="A686" s="81"/>
      <c r="G686" s="81"/>
      <c r="H686" s="81"/>
      <c r="I686" s="81"/>
      <c r="J686" s="81"/>
      <c r="K686" s="318"/>
      <c r="L686" s="81"/>
      <c r="M686" s="298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spans="1:26" ht="13.5" customHeight="1">
      <c r="A687" s="81"/>
      <c r="G687" s="81"/>
      <c r="H687" s="81"/>
      <c r="I687" s="81"/>
      <c r="J687" s="81"/>
      <c r="K687" s="318"/>
      <c r="L687" s="81"/>
      <c r="M687" s="298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spans="1:26" ht="13.5" customHeight="1">
      <c r="A688" s="81"/>
      <c r="G688" s="81"/>
      <c r="H688" s="81"/>
      <c r="I688" s="81"/>
      <c r="J688" s="81"/>
      <c r="K688" s="318"/>
      <c r="L688" s="81"/>
      <c r="M688" s="298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spans="1:26" ht="13.5" customHeight="1">
      <c r="A689" s="81"/>
      <c r="G689" s="81"/>
      <c r="H689" s="81"/>
      <c r="I689" s="81"/>
      <c r="J689" s="81"/>
      <c r="K689" s="318"/>
      <c r="L689" s="81"/>
      <c r="M689" s="298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spans="1:26" ht="13.5" customHeight="1">
      <c r="A690" s="81"/>
      <c r="G690" s="81"/>
      <c r="H690" s="81"/>
      <c r="I690" s="81"/>
      <c r="J690" s="81"/>
      <c r="K690" s="318"/>
      <c r="L690" s="81"/>
      <c r="M690" s="298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spans="1:26" ht="13.5" customHeight="1">
      <c r="A691" s="81"/>
      <c r="G691" s="81"/>
      <c r="H691" s="81"/>
      <c r="I691" s="81"/>
      <c r="J691" s="81"/>
      <c r="K691" s="318"/>
      <c r="L691" s="81"/>
      <c r="M691" s="298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spans="1:26" ht="13.5" customHeight="1">
      <c r="A692" s="81"/>
      <c r="G692" s="81"/>
      <c r="H692" s="81"/>
      <c r="I692" s="81"/>
      <c r="J692" s="81"/>
      <c r="K692" s="318"/>
      <c r="L692" s="81"/>
      <c r="M692" s="298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spans="1:26" ht="13.5" customHeight="1">
      <c r="A693" s="81"/>
      <c r="G693" s="81"/>
      <c r="H693" s="81"/>
      <c r="I693" s="81"/>
      <c r="J693" s="81"/>
      <c r="K693" s="318"/>
      <c r="L693" s="81"/>
      <c r="M693" s="298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spans="1:26" ht="13.5" customHeight="1">
      <c r="A694" s="81"/>
      <c r="G694" s="81"/>
      <c r="H694" s="81"/>
      <c r="I694" s="81"/>
      <c r="J694" s="81"/>
      <c r="K694" s="318"/>
      <c r="L694" s="81"/>
      <c r="M694" s="298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spans="1:26" ht="13.5" customHeight="1">
      <c r="A695" s="81"/>
      <c r="G695" s="81"/>
      <c r="H695" s="81"/>
      <c r="I695" s="81"/>
      <c r="J695" s="81"/>
      <c r="K695" s="318"/>
      <c r="L695" s="81"/>
      <c r="M695" s="298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spans="1:26" ht="13.5" customHeight="1">
      <c r="A696" s="81"/>
      <c r="G696" s="81"/>
      <c r="H696" s="81"/>
      <c r="I696" s="81"/>
      <c r="J696" s="81"/>
      <c r="K696" s="318"/>
      <c r="L696" s="81"/>
      <c r="M696" s="298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spans="1:26" ht="13.5" customHeight="1">
      <c r="A697" s="81"/>
      <c r="G697" s="81"/>
      <c r="H697" s="81"/>
      <c r="I697" s="81"/>
      <c r="J697" s="81"/>
      <c r="K697" s="318"/>
      <c r="L697" s="81"/>
      <c r="M697" s="298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spans="1:26" ht="13.5" customHeight="1">
      <c r="A698" s="81"/>
      <c r="G698" s="81"/>
      <c r="H698" s="81"/>
      <c r="I698" s="81"/>
      <c r="J698" s="81"/>
      <c r="K698" s="318"/>
      <c r="L698" s="81"/>
      <c r="M698" s="298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spans="1:26" ht="13.5" customHeight="1">
      <c r="A699" s="81"/>
      <c r="G699" s="81"/>
      <c r="H699" s="81"/>
      <c r="I699" s="81"/>
      <c r="J699" s="81"/>
      <c r="K699" s="318"/>
      <c r="L699" s="81"/>
      <c r="M699" s="298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spans="1:26" ht="13.5" customHeight="1">
      <c r="A700" s="81"/>
      <c r="G700" s="81"/>
      <c r="H700" s="81"/>
      <c r="I700" s="81"/>
      <c r="J700" s="81"/>
      <c r="K700" s="318"/>
      <c r="L700" s="81"/>
      <c r="M700" s="298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spans="1:26" ht="13.5" customHeight="1">
      <c r="A701" s="81"/>
      <c r="G701" s="81"/>
      <c r="H701" s="81"/>
      <c r="I701" s="81"/>
      <c r="J701" s="81"/>
      <c r="K701" s="318"/>
      <c r="L701" s="81"/>
      <c r="M701" s="298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spans="1:26" ht="13.5" customHeight="1">
      <c r="A702" s="81"/>
      <c r="G702" s="81"/>
      <c r="H702" s="81"/>
      <c r="I702" s="81"/>
      <c r="J702" s="81"/>
      <c r="K702" s="318"/>
      <c r="L702" s="81"/>
      <c r="M702" s="298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spans="1:26" ht="13.5" customHeight="1">
      <c r="A703" s="81"/>
      <c r="G703" s="81"/>
      <c r="H703" s="81"/>
      <c r="I703" s="81"/>
      <c r="J703" s="81"/>
      <c r="K703" s="318"/>
      <c r="L703" s="81"/>
      <c r="M703" s="298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spans="1:26" ht="13.5" customHeight="1">
      <c r="A704" s="81"/>
      <c r="G704" s="81"/>
      <c r="H704" s="81"/>
      <c r="I704" s="81"/>
      <c r="J704" s="81"/>
      <c r="K704" s="318"/>
      <c r="L704" s="81"/>
      <c r="M704" s="298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spans="1:26" ht="13.5" customHeight="1">
      <c r="A705" s="81"/>
      <c r="G705" s="81"/>
      <c r="H705" s="81"/>
      <c r="I705" s="81"/>
      <c r="J705" s="81"/>
      <c r="K705" s="318"/>
      <c r="L705" s="81"/>
      <c r="M705" s="298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spans="1:26" ht="13.5" customHeight="1">
      <c r="A706" s="81"/>
      <c r="G706" s="81"/>
      <c r="H706" s="81"/>
      <c r="I706" s="81"/>
      <c r="J706" s="81"/>
      <c r="K706" s="318"/>
      <c r="L706" s="81"/>
      <c r="M706" s="298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spans="1:26" ht="13.5" customHeight="1">
      <c r="A707" s="81"/>
      <c r="G707" s="81"/>
      <c r="H707" s="81"/>
      <c r="I707" s="81"/>
      <c r="J707" s="81"/>
      <c r="K707" s="318"/>
      <c r="L707" s="81"/>
      <c r="M707" s="298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spans="1:26" ht="13.5" customHeight="1">
      <c r="A708" s="81"/>
      <c r="G708" s="81"/>
      <c r="H708" s="81"/>
      <c r="I708" s="81"/>
      <c r="J708" s="81"/>
      <c r="K708" s="318"/>
      <c r="L708" s="81"/>
      <c r="M708" s="298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spans="1:26" ht="13.5" customHeight="1">
      <c r="A709" s="81"/>
      <c r="G709" s="81"/>
      <c r="H709" s="81"/>
      <c r="I709" s="81"/>
      <c r="J709" s="81"/>
      <c r="K709" s="318"/>
      <c r="L709" s="81"/>
      <c r="M709" s="298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spans="1:26" ht="13.5" customHeight="1">
      <c r="A710" s="81"/>
      <c r="G710" s="81"/>
      <c r="H710" s="81"/>
      <c r="I710" s="81"/>
      <c r="J710" s="81"/>
      <c r="K710" s="318"/>
      <c r="L710" s="81"/>
      <c r="M710" s="298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spans="1:26" ht="13.5" customHeight="1">
      <c r="A711" s="81"/>
      <c r="G711" s="81"/>
      <c r="H711" s="81"/>
      <c r="I711" s="81"/>
      <c r="J711" s="81"/>
      <c r="K711" s="318"/>
      <c r="L711" s="81"/>
      <c r="M711" s="298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spans="1:26" ht="13.5" customHeight="1">
      <c r="A712" s="81"/>
      <c r="G712" s="81"/>
      <c r="H712" s="81"/>
      <c r="I712" s="81"/>
      <c r="J712" s="81"/>
      <c r="K712" s="318"/>
      <c r="L712" s="81"/>
      <c r="M712" s="298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spans="1:26" ht="13.5" customHeight="1">
      <c r="A713" s="81"/>
      <c r="G713" s="81"/>
      <c r="H713" s="81"/>
      <c r="I713" s="81"/>
      <c r="J713" s="81"/>
      <c r="K713" s="318"/>
      <c r="L713" s="81"/>
      <c r="M713" s="298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spans="1:26" ht="13.5" customHeight="1">
      <c r="A714" s="81"/>
      <c r="G714" s="81"/>
      <c r="H714" s="81"/>
      <c r="I714" s="81"/>
      <c r="J714" s="81"/>
      <c r="K714" s="318"/>
      <c r="L714" s="81"/>
      <c r="M714" s="298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spans="1:26" ht="13.5" customHeight="1">
      <c r="A715" s="81"/>
      <c r="G715" s="81"/>
      <c r="H715" s="81"/>
      <c r="I715" s="81"/>
      <c r="J715" s="81"/>
      <c r="K715" s="318"/>
      <c r="L715" s="81"/>
      <c r="M715" s="298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spans="1:26" ht="13.5" customHeight="1">
      <c r="A716" s="81"/>
      <c r="G716" s="81"/>
      <c r="H716" s="81"/>
      <c r="I716" s="81"/>
      <c r="J716" s="81"/>
      <c r="K716" s="318"/>
      <c r="L716" s="81"/>
      <c r="M716" s="298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spans="1:26" ht="13.5" customHeight="1">
      <c r="A717" s="81"/>
      <c r="G717" s="81"/>
      <c r="H717" s="81"/>
      <c r="I717" s="81"/>
      <c r="J717" s="81"/>
      <c r="K717" s="318"/>
      <c r="L717" s="81"/>
      <c r="M717" s="298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spans="1:26" ht="13.5" customHeight="1">
      <c r="A718" s="81"/>
      <c r="G718" s="81"/>
      <c r="H718" s="81"/>
      <c r="I718" s="81"/>
      <c r="J718" s="81"/>
      <c r="K718" s="318"/>
      <c r="L718" s="81"/>
      <c r="M718" s="298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spans="1:26" ht="13.5" customHeight="1">
      <c r="A719" s="81"/>
      <c r="G719" s="81"/>
      <c r="H719" s="81"/>
      <c r="I719" s="81"/>
      <c r="J719" s="81"/>
      <c r="K719" s="318"/>
      <c r="L719" s="81"/>
      <c r="M719" s="298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spans="1:26" ht="13.5" customHeight="1">
      <c r="A720" s="81"/>
      <c r="G720" s="81"/>
      <c r="H720" s="81"/>
      <c r="I720" s="81"/>
      <c r="J720" s="81"/>
      <c r="K720" s="318"/>
      <c r="L720" s="81"/>
      <c r="M720" s="298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spans="1:26" ht="13.5" customHeight="1">
      <c r="A721" s="81"/>
      <c r="G721" s="81"/>
      <c r="H721" s="81"/>
      <c r="I721" s="81"/>
      <c r="J721" s="81"/>
      <c r="K721" s="318"/>
      <c r="L721" s="81"/>
      <c r="M721" s="298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spans="1:26" ht="13.5" customHeight="1">
      <c r="A722" s="81"/>
      <c r="G722" s="81"/>
      <c r="H722" s="81"/>
      <c r="I722" s="81"/>
      <c r="J722" s="81"/>
      <c r="K722" s="318"/>
      <c r="L722" s="81"/>
      <c r="M722" s="298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spans="1:26" ht="13.5" customHeight="1">
      <c r="A723" s="81"/>
      <c r="G723" s="81"/>
      <c r="H723" s="81"/>
      <c r="I723" s="81"/>
      <c r="J723" s="81"/>
      <c r="K723" s="318"/>
      <c r="L723" s="81"/>
      <c r="M723" s="298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spans="1:26" ht="13.5" customHeight="1">
      <c r="A724" s="81"/>
      <c r="G724" s="81"/>
      <c r="H724" s="81"/>
      <c r="I724" s="81"/>
      <c r="J724" s="81"/>
      <c r="K724" s="318"/>
      <c r="L724" s="81"/>
      <c r="M724" s="298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spans="1:26" ht="13.5" customHeight="1">
      <c r="A725" s="81"/>
      <c r="G725" s="81"/>
      <c r="H725" s="81"/>
      <c r="I725" s="81"/>
      <c r="J725" s="81"/>
      <c r="K725" s="318"/>
      <c r="L725" s="81"/>
      <c r="M725" s="298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spans="1:26" ht="13.5" customHeight="1">
      <c r="A726" s="81"/>
      <c r="G726" s="81"/>
      <c r="H726" s="81"/>
      <c r="I726" s="81"/>
      <c r="J726" s="81"/>
      <c r="K726" s="318"/>
      <c r="L726" s="81"/>
      <c r="M726" s="298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spans="1:26" ht="13.5" customHeight="1">
      <c r="A727" s="81"/>
      <c r="G727" s="81"/>
      <c r="H727" s="81"/>
      <c r="I727" s="81"/>
      <c r="J727" s="81"/>
      <c r="K727" s="318"/>
      <c r="L727" s="81"/>
      <c r="M727" s="298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spans="1:26" ht="13.5" customHeight="1">
      <c r="A728" s="81"/>
      <c r="G728" s="81"/>
      <c r="H728" s="81"/>
      <c r="I728" s="81"/>
      <c r="J728" s="81"/>
      <c r="K728" s="318"/>
      <c r="L728" s="81"/>
      <c r="M728" s="298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spans="1:26" ht="13.5" customHeight="1">
      <c r="A729" s="81"/>
      <c r="G729" s="81"/>
      <c r="H729" s="81"/>
      <c r="I729" s="81"/>
      <c r="J729" s="81"/>
      <c r="K729" s="318"/>
      <c r="L729" s="81"/>
      <c r="M729" s="298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spans="1:26" ht="13.5" customHeight="1">
      <c r="A730" s="81"/>
      <c r="G730" s="81"/>
      <c r="H730" s="81"/>
      <c r="I730" s="81"/>
      <c r="J730" s="81"/>
      <c r="K730" s="318"/>
      <c r="L730" s="81"/>
      <c r="M730" s="298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spans="1:26" ht="13.5" customHeight="1">
      <c r="A731" s="81"/>
      <c r="G731" s="81"/>
      <c r="H731" s="81"/>
      <c r="I731" s="81"/>
      <c r="J731" s="81"/>
      <c r="K731" s="318"/>
      <c r="L731" s="81"/>
      <c r="M731" s="298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spans="1:26" ht="13.5" customHeight="1">
      <c r="A732" s="81"/>
      <c r="G732" s="81"/>
      <c r="H732" s="81"/>
      <c r="I732" s="81"/>
      <c r="J732" s="81"/>
      <c r="K732" s="318"/>
      <c r="L732" s="81"/>
      <c r="M732" s="298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spans="1:26" ht="13.5" customHeight="1">
      <c r="A733" s="81"/>
      <c r="G733" s="81"/>
      <c r="H733" s="81"/>
      <c r="I733" s="81"/>
      <c r="J733" s="81"/>
      <c r="K733" s="318"/>
      <c r="L733" s="81"/>
      <c r="M733" s="298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spans="1:26" ht="13.5" customHeight="1">
      <c r="A734" s="81"/>
      <c r="G734" s="81"/>
      <c r="H734" s="81"/>
      <c r="I734" s="81"/>
      <c r="J734" s="81"/>
      <c r="K734" s="318"/>
      <c r="L734" s="81"/>
      <c r="M734" s="298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spans="1:26" ht="13.5" customHeight="1">
      <c r="A735" s="81"/>
      <c r="G735" s="81"/>
      <c r="H735" s="81"/>
      <c r="I735" s="81"/>
      <c r="J735" s="81"/>
      <c r="K735" s="318"/>
      <c r="L735" s="81"/>
      <c r="M735" s="298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spans="1:26" ht="13.5" customHeight="1">
      <c r="A736" s="81"/>
      <c r="G736" s="81"/>
      <c r="H736" s="81"/>
      <c r="I736" s="81"/>
      <c r="J736" s="81"/>
      <c r="K736" s="318"/>
      <c r="L736" s="81"/>
      <c r="M736" s="298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spans="1:26" ht="13.5" customHeight="1">
      <c r="A737" s="81"/>
      <c r="G737" s="81"/>
      <c r="H737" s="81"/>
      <c r="I737" s="81"/>
      <c r="J737" s="81"/>
      <c r="K737" s="318"/>
      <c r="L737" s="81"/>
      <c r="M737" s="298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spans="1:26" ht="13.5" customHeight="1">
      <c r="A738" s="81"/>
      <c r="G738" s="81"/>
      <c r="H738" s="81"/>
      <c r="I738" s="81"/>
      <c r="J738" s="81"/>
      <c r="K738" s="318"/>
      <c r="L738" s="81"/>
      <c r="M738" s="298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spans="1:26" ht="13.5" customHeight="1">
      <c r="A739" s="81"/>
      <c r="G739" s="81"/>
      <c r="H739" s="81"/>
      <c r="I739" s="81"/>
      <c r="J739" s="81"/>
      <c r="K739" s="318"/>
      <c r="L739" s="81"/>
      <c r="M739" s="298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spans="1:26" ht="13.5" customHeight="1">
      <c r="A740" s="81"/>
      <c r="G740" s="81"/>
      <c r="H740" s="81"/>
      <c r="I740" s="81"/>
      <c r="J740" s="81"/>
      <c r="K740" s="318"/>
      <c r="L740" s="81"/>
      <c r="M740" s="298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spans="1:26" ht="13.5" customHeight="1">
      <c r="A741" s="81"/>
      <c r="G741" s="81"/>
      <c r="H741" s="81"/>
      <c r="I741" s="81"/>
      <c r="J741" s="81"/>
      <c r="K741" s="318"/>
      <c r="L741" s="81"/>
      <c r="M741" s="298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spans="1:26" ht="13.5" customHeight="1">
      <c r="A742" s="81"/>
      <c r="G742" s="81"/>
      <c r="H742" s="81"/>
      <c r="I742" s="81"/>
      <c r="J742" s="81"/>
      <c r="K742" s="318"/>
      <c r="L742" s="81"/>
      <c r="M742" s="298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spans="1:26" ht="13.5" customHeight="1">
      <c r="A743" s="81"/>
      <c r="G743" s="81"/>
      <c r="H743" s="81"/>
      <c r="I743" s="81"/>
      <c r="J743" s="81"/>
      <c r="K743" s="318"/>
      <c r="L743" s="81"/>
      <c r="M743" s="298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spans="1:26" ht="13.5" customHeight="1">
      <c r="A744" s="81"/>
      <c r="G744" s="81"/>
      <c r="H744" s="81"/>
      <c r="I744" s="81"/>
      <c r="J744" s="81"/>
      <c r="K744" s="318"/>
      <c r="L744" s="81"/>
      <c r="M744" s="298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spans="1:26" ht="13.5" customHeight="1">
      <c r="A745" s="81"/>
      <c r="G745" s="81"/>
      <c r="H745" s="81"/>
      <c r="I745" s="81"/>
      <c r="J745" s="81"/>
      <c r="K745" s="318"/>
      <c r="L745" s="81"/>
      <c r="M745" s="298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spans="1:26" ht="13.5" customHeight="1">
      <c r="A746" s="81"/>
      <c r="G746" s="81"/>
      <c r="H746" s="81"/>
      <c r="I746" s="81"/>
      <c r="J746" s="81"/>
      <c r="K746" s="318"/>
      <c r="L746" s="81"/>
      <c r="M746" s="298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spans="1:26" ht="13.5" customHeight="1">
      <c r="A747" s="81"/>
      <c r="G747" s="81"/>
      <c r="H747" s="81"/>
      <c r="I747" s="81"/>
      <c r="J747" s="81"/>
      <c r="K747" s="318"/>
      <c r="L747" s="81"/>
      <c r="M747" s="298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spans="1:26" ht="13.5" customHeight="1">
      <c r="A748" s="81"/>
      <c r="G748" s="81"/>
      <c r="H748" s="81"/>
      <c r="I748" s="81"/>
      <c r="J748" s="81"/>
      <c r="K748" s="318"/>
      <c r="L748" s="81"/>
      <c r="M748" s="298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spans="1:26" ht="13.5" customHeight="1">
      <c r="A749" s="81"/>
      <c r="G749" s="81"/>
      <c r="H749" s="81"/>
      <c r="I749" s="81"/>
      <c r="J749" s="81"/>
      <c r="K749" s="318"/>
      <c r="L749" s="81"/>
      <c r="M749" s="298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spans="1:26" ht="13.5" customHeight="1">
      <c r="A750" s="81"/>
      <c r="G750" s="81"/>
      <c r="H750" s="81"/>
      <c r="I750" s="81"/>
      <c r="J750" s="81"/>
      <c r="K750" s="318"/>
      <c r="L750" s="81"/>
      <c r="M750" s="298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spans="1:26" ht="13.5" customHeight="1">
      <c r="A751" s="81"/>
      <c r="G751" s="81"/>
      <c r="H751" s="81"/>
      <c r="I751" s="81"/>
      <c r="J751" s="81"/>
      <c r="K751" s="318"/>
      <c r="L751" s="81"/>
      <c r="M751" s="298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spans="1:26" ht="13.5" customHeight="1">
      <c r="A752" s="81"/>
      <c r="G752" s="81"/>
      <c r="H752" s="81"/>
      <c r="I752" s="81"/>
      <c r="J752" s="81"/>
      <c r="K752" s="318"/>
      <c r="L752" s="81"/>
      <c r="M752" s="298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spans="1:26" ht="13.5" customHeight="1">
      <c r="A753" s="81"/>
      <c r="G753" s="81"/>
      <c r="H753" s="81"/>
      <c r="I753" s="81"/>
      <c r="J753" s="81"/>
      <c r="K753" s="318"/>
      <c r="L753" s="81"/>
      <c r="M753" s="298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spans="1:26" ht="13.5" customHeight="1">
      <c r="A754" s="81"/>
      <c r="G754" s="81"/>
      <c r="H754" s="81"/>
      <c r="I754" s="81"/>
      <c r="J754" s="81"/>
      <c r="K754" s="318"/>
      <c r="L754" s="81"/>
      <c r="M754" s="298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spans="1:26" ht="13.5" customHeight="1">
      <c r="A755" s="81"/>
      <c r="G755" s="81"/>
      <c r="H755" s="81"/>
      <c r="I755" s="81"/>
      <c r="J755" s="81"/>
      <c r="K755" s="318"/>
      <c r="L755" s="81"/>
      <c r="M755" s="298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spans="1:26" ht="13.5" customHeight="1">
      <c r="A756" s="81"/>
      <c r="G756" s="81"/>
      <c r="H756" s="81"/>
      <c r="I756" s="81"/>
      <c r="J756" s="81"/>
      <c r="K756" s="318"/>
      <c r="L756" s="81"/>
      <c r="M756" s="298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spans="1:26" ht="13.5" customHeight="1">
      <c r="A757" s="81"/>
      <c r="G757" s="81"/>
      <c r="H757" s="81"/>
      <c r="I757" s="81"/>
      <c r="J757" s="81"/>
      <c r="K757" s="318"/>
      <c r="L757" s="81"/>
      <c r="M757" s="298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spans="1:26" ht="13.5" customHeight="1">
      <c r="A758" s="81"/>
      <c r="G758" s="81"/>
      <c r="H758" s="81"/>
      <c r="I758" s="81"/>
      <c r="J758" s="81"/>
      <c r="K758" s="318"/>
      <c r="L758" s="81"/>
      <c r="M758" s="298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spans="1:26" ht="13.5" customHeight="1">
      <c r="A759" s="81"/>
      <c r="G759" s="81"/>
      <c r="H759" s="81"/>
      <c r="I759" s="81"/>
      <c r="J759" s="81"/>
      <c r="K759" s="318"/>
      <c r="L759" s="81"/>
      <c r="M759" s="298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spans="1:26" ht="13.5" customHeight="1">
      <c r="A760" s="81"/>
      <c r="G760" s="81"/>
      <c r="H760" s="81"/>
      <c r="I760" s="81"/>
      <c r="J760" s="81"/>
      <c r="K760" s="318"/>
      <c r="L760" s="81"/>
      <c r="M760" s="298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spans="1:26" ht="13.5" customHeight="1">
      <c r="A761" s="81"/>
      <c r="G761" s="81"/>
      <c r="H761" s="81"/>
      <c r="I761" s="81"/>
      <c r="J761" s="81"/>
      <c r="K761" s="318"/>
      <c r="L761" s="81"/>
      <c r="M761" s="298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spans="1:26" ht="13.5" customHeight="1">
      <c r="A762" s="81"/>
      <c r="G762" s="81"/>
      <c r="H762" s="81"/>
      <c r="I762" s="81"/>
      <c r="J762" s="81"/>
      <c r="K762" s="318"/>
      <c r="L762" s="81"/>
      <c r="M762" s="298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spans="1:26" ht="13.5" customHeight="1">
      <c r="A763" s="81"/>
      <c r="G763" s="81"/>
      <c r="H763" s="81"/>
      <c r="I763" s="81"/>
      <c r="J763" s="81"/>
      <c r="K763" s="318"/>
      <c r="L763" s="81"/>
      <c r="M763" s="298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spans="1:26" ht="13.5" customHeight="1">
      <c r="A764" s="81"/>
      <c r="G764" s="81"/>
      <c r="H764" s="81"/>
      <c r="I764" s="81"/>
      <c r="J764" s="81"/>
      <c r="K764" s="318"/>
      <c r="L764" s="81"/>
      <c r="M764" s="298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spans="1:26" ht="13.5" customHeight="1">
      <c r="A765" s="81"/>
      <c r="G765" s="81"/>
      <c r="H765" s="81"/>
      <c r="I765" s="81"/>
      <c r="J765" s="81"/>
      <c r="K765" s="318"/>
      <c r="L765" s="81"/>
      <c r="M765" s="298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spans="1:26" ht="13.5" customHeight="1">
      <c r="A766" s="81"/>
      <c r="G766" s="81"/>
      <c r="H766" s="81"/>
      <c r="I766" s="81"/>
      <c r="J766" s="81"/>
      <c r="K766" s="318"/>
      <c r="L766" s="81"/>
      <c r="M766" s="298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spans="1:26" ht="13.5" customHeight="1">
      <c r="A767" s="81"/>
      <c r="G767" s="81"/>
      <c r="H767" s="81"/>
      <c r="I767" s="81"/>
      <c r="J767" s="81"/>
      <c r="K767" s="318"/>
      <c r="L767" s="81"/>
      <c r="M767" s="298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spans="1:26" ht="13.5" customHeight="1">
      <c r="A768" s="81"/>
      <c r="G768" s="81"/>
      <c r="H768" s="81"/>
      <c r="I768" s="81"/>
      <c r="J768" s="81"/>
      <c r="K768" s="318"/>
      <c r="L768" s="81"/>
      <c r="M768" s="298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spans="1:26" ht="13.5" customHeight="1">
      <c r="A769" s="81"/>
      <c r="G769" s="81"/>
      <c r="H769" s="81"/>
      <c r="I769" s="81"/>
      <c r="J769" s="81"/>
      <c r="K769" s="318"/>
      <c r="L769" s="81"/>
      <c r="M769" s="298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spans="1:26" ht="13.5" customHeight="1">
      <c r="A770" s="81"/>
      <c r="G770" s="81"/>
      <c r="H770" s="81"/>
      <c r="I770" s="81"/>
      <c r="J770" s="81"/>
      <c r="K770" s="318"/>
      <c r="L770" s="81"/>
      <c r="M770" s="298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spans="1:26" ht="13.5" customHeight="1">
      <c r="A771" s="81"/>
      <c r="G771" s="81"/>
      <c r="H771" s="81"/>
      <c r="I771" s="81"/>
      <c r="J771" s="81"/>
      <c r="K771" s="318"/>
      <c r="L771" s="81"/>
      <c r="M771" s="298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spans="1:26" ht="13.5" customHeight="1">
      <c r="A772" s="81"/>
      <c r="G772" s="81"/>
      <c r="H772" s="81"/>
      <c r="I772" s="81"/>
      <c r="J772" s="81"/>
      <c r="K772" s="318"/>
      <c r="L772" s="81"/>
      <c r="M772" s="298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spans="1:26" ht="13.5" customHeight="1">
      <c r="A773" s="81"/>
      <c r="G773" s="81"/>
      <c r="H773" s="81"/>
      <c r="I773" s="81"/>
      <c r="J773" s="81"/>
      <c r="K773" s="318"/>
      <c r="L773" s="81"/>
      <c r="M773" s="298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spans="1:26" ht="13.5" customHeight="1">
      <c r="A774" s="81"/>
      <c r="G774" s="81"/>
      <c r="H774" s="81"/>
      <c r="I774" s="81"/>
      <c r="J774" s="81"/>
      <c r="K774" s="318"/>
      <c r="L774" s="81"/>
      <c r="M774" s="298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spans="1:26" ht="13.5" customHeight="1">
      <c r="A775" s="81"/>
      <c r="G775" s="81"/>
      <c r="H775" s="81"/>
      <c r="I775" s="81"/>
      <c r="J775" s="81"/>
      <c r="K775" s="318"/>
      <c r="L775" s="81"/>
      <c r="M775" s="298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spans="1:26" ht="13.5" customHeight="1">
      <c r="A776" s="81"/>
      <c r="G776" s="81"/>
      <c r="H776" s="81"/>
      <c r="I776" s="81"/>
      <c r="J776" s="81"/>
      <c r="K776" s="318"/>
      <c r="L776" s="81"/>
      <c r="M776" s="298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spans="1:26" ht="13.5" customHeight="1">
      <c r="A777" s="81"/>
      <c r="G777" s="81"/>
      <c r="H777" s="81"/>
      <c r="I777" s="81"/>
      <c r="J777" s="81"/>
      <c r="K777" s="318"/>
      <c r="L777" s="81"/>
      <c r="M777" s="298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spans="1:26" ht="13.5" customHeight="1">
      <c r="A778" s="81"/>
      <c r="G778" s="81"/>
      <c r="H778" s="81"/>
      <c r="I778" s="81"/>
      <c r="J778" s="81"/>
      <c r="K778" s="318"/>
      <c r="L778" s="81"/>
      <c r="M778" s="298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spans="1:26" ht="13.5" customHeight="1">
      <c r="A779" s="81"/>
      <c r="G779" s="81"/>
      <c r="H779" s="81"/>
      <c r="I779" s="81"/>
      <c r="J779" s="81"/>
      <c r="K779" s="318"/>
      <c r="L779" s="81"/>
      <c r="M779" s="298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spans="1:26" ht="13.5" customHeight="1">
      <c r="A780" s="81"/>
      <c r="G780" s="81"/>
      <c r="H780" s="81"/>
      <c r="I780" s="81"/>
      <c r="J780" s="81"/>
      <c r="K780" s="318"/>
      <c r="L780" s="81"/>
      <c r="M780" s="298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spans="1:26" ht="13.5" customHeight="1">
      <c r="A781" s="81"/>
      <c r="G781" s="81"/>
      <c r="H781" s="81"/>
      <c r="I781" s="81"/>
      <c r="J781" s="81"/>
      <c r="K781" s="318"/>
      <c r="L781" s="81"/>
      <c r="M781" s="298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spans="1:26" ht="13.5" customHeight="1">
      <c r="A782" s="81"/>
      <c r="G782" s="81"/>
      <c r="H782" s="81"/>
      <c r="I782" s="81"/>
      <c r="J782" s="81"/>
      <c r="K782" s="318"/>
      <c r="L782" s="81"/>
      <c r="M782" s="298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spans="1:26" ht="13.5" customHeight="1">
      <c r="A783" s="81"/>
      <c r="G783" s="81"/>
      <c r="H783" s="81"/>
      <c r="I783" s="81"/>
      <c r="J783" s="81"/>
      <c r="K783" s="318"/>
      <c r="L783" s="81"/>
      <c r="M783" s="298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spans="1:26" ht="13.5" customHeight="1">
      <c r="A784" s="81"/>
      <c r="G784" s="81"/>
      <c r="H784" s="81"/>
      <c r="I784" s="81"/>
      <c r="J784" s="81"/>
      <c r="K784" s="318"/>
      <c r="L784" s="81"/>
      <c r="M784" s="298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spans="1:26" ht="13.5" customHeight="1">
      <c r="A785" s="81"/>
      <c r="G785" s="81"/>
      <c r="H785" s="81"/>
      <c r="I785" s="81"/>
      <c r="J785" s="81"/>
      <c r="K785" s="318"/>
      <c r="L785" s="81"/>
      <c r="M785" s="298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spans="1:26" ht="13.5" customHeight="1">
      <c r="A786" s="81"/>
      <c r="G786" s="81"/>
      <c r="H786" s="81"/>
      <c r="I786" s="81"/>
      <c r="J786" s="81"/>
      <c r="K786" s="318"/>
      <c r="L786" s="81"/>
      <c r="M786" s="298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spans="1:26" ht="13.5" customHeight="1">
      <c r="A787" s="81"/>
      <c r="G787" s="81"/>
      <c r="H787" s="81"/>
      <c r="I787" s="81"/>
      <c r="J787" s="81"/>
      <c r="K787" s="318"/>
      <c r="L787" s="81"/>
      <c r="M787" s="298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spans="1:26" ht="13.5" customHeight="1">
      <c r="A788" s="81"/>
      <c r="G788" s="81"/>
      <c r="H788" s="81"/>
      <c r="I788" s="81"/>
      <c r="J788" s="81"/>
      <c r="K788" s="318"/>
      <c r="L788" s="81"/>
      <c r="M788" s="298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spans="1:26" ht="13.5" customHeight="1">
      <c r="A789" s="81"/>
      <c r="G789" s="81"/>
      <c r="H789" s="81"/>
      <c r="I789" s="81"/>
      <c r="J789" s="81"/>
      <c r="K789" s="318"/>
      <c r="L789" s="81"/>
      <c r="M789" s="298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spans="1:26" ht="13.5" customHeight="1">
      <c r="A790" s="81"/>
      <c r="G790" s="81"/>
      <c r="H790" s="81"/>
      <c r="I790" s="81"/>
      <c r="J790" s="81"/>
      <c r="K790" s="318"/>
      <c r="L790" s="81"/>
      <c r="M790" s="298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spans="1:26" ht="13.5" customHeight="1">
      <c r="A791" s="81"/>
      <c r="G791" s="81"/>
      <c r="H791" s="81"/>
      <c r="I791" s="81"/>
      <c r="J791" s="81"/>
      <c r="K791" s="318"/>
      <c r="L791" s="81"/>
      <c r="M791" s="298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spans="1:26" ht="13.5" customHeight="1">
      <c r="A792" s="81"/>
      <c r="G792" s="81"/>
      <c r="H792" s="81"/>
      <c r="I792" s="81"/>
      <c r="J792" s="81"/>
      <c r="K792" s="318"/>
      <c r="L792" s="81"/>
      <c r="M792" s="298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spans="1:26" ht="13.5" customHeight="1">
      <c r="A793" s="81"/>
      <c r="G793" s="81"/>
      <c r="H793" s="81"/>
      <c r="I793" s="81"/>
      <c r="J793" s="81"/>
      <c r="K793" s="318"/>
      <c r="L793" s="81"/>
      <c r="M793" s="298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spans="1:26" ht="13.5" customHeight="1">
      <c r="A794" s="81"/>
      <c r="G794" s="81"/>
      <c r="H794" s="81"/>
      <c r="I794" s="81"/>
      <c r="J794" s="81"/>
      <c r="K794" s="318"/>
      <c r="L794" s="81"/>
      <c r="M794" s="298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spans="1:26" ht="13.5" customHeight="1">
      <c r="A795" s="81"/>
      <c r="G795" s="81"/>
      <c r="H795" s="81"/>
      <c r="I795" s="81"/>
      <c r="J795" s="81"/>
      <c r="K795" s="318"/>
      <c r="L795" s="81"/>
      <c r="M795" s="298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spans="1:26" ht="13.5" customHeight="1">
      <c r="A796" s="81"/>
      <c r="G796" s="81"/>
      <c r="H796" s="81"/>
      <c r="I796" s="81"/>
      <c r="J796" s="81"/>
      <c r="K796" s="318"/>
      <c r="L796" s="81"/>
      <c r="M796" s="298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spans="1:26" ht="13.5" customHeight="1">
      <c r="A797" s="81"/>
      <c r="G797" s="81"/>
      <c r="H797" s="81"/>
      <c r="I797" s="81"/>
      <c r="J797" s="81"/>
      <c r="K797" s="318"/>
      <c r="L797" s="81"/>
      <c r="M797" s="298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spans="1:26" ht="13.5" customHeight="1">
      <c r="A798" s="81"/>
      <c r="G798" s="81"/>
      <c r="H798" s="81"/>
      <c r="I798" s="81"/>
      <c r="J798" s="81"/>
      <c r="K798" s="318"/>
      <c r="L798" s="81"/>
      <c r="M798" s="298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spans="1:26" ht="13.5" customHeight="1">
      <c r="A799" s="81"/>
      <c r="G799" s="81"/>
      <c r="H799" s="81"/>
      <c r="I799" s="81"/>
      <c r="J799" s="81"/>
      <c r="K799" s="318"/>
      <c r="L799" s="81"/>
      <c r="M799" s="298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spans="1:26" ht="13.5" customHeight="1">
      <c r="A800" s="81"/>
      <c r="G800" s="81"/>
      <c r="H800" s="81"/>
      <c r="I800" s="81"/>
      <c r="J800" s="81"/>
      <c r="K800" s="318"/>
      <c r="L800" s="81"/>
      <c r="M800" s="298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spans="1:26" ht="13.5" customHeight="1">
      <c r="A801" s="81"/>
      <c r="G801" s="81"/>
      <c r="H801" s="81"/>
      <c r="I801" s="81"/>
      <c r="J801" s="81"/>
      <c r="K801" s="318"/>
      <c r="L801" s="81"/>
      <c r="M801" s="298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spans="1:26" ht="13.5" customHeight="1">
      <c r="A802" s="81"/>
      <c r="G802" s="81"/>
      <c r="H802" s="81"/>
      <c r="I802" s="81"/>
      <c r="J802" s="81"/>
      <c r="K802" s="318"/>
      <c r="L802" s="81"/>
      <c r="M802" s="298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spans="1:26" ht="13.5" customHeight="1">
      <c r="A803" s="81"/>
      <c r="G803" s="81"/>
      <c r="H803" s="81"/>
      <c r="I803" s="81"/>
      <c r="J803" s="81"/>
      <c r="K803" s="318"/>
      <c r="L803" s="81"/>
      <c r="M803" s="298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spans="1:26" ht="13.5" customHeight="1">
      <c r="A804" s="81"/>
      <c r="G804" s="81"/>
      <c r="H804" s="81"/>
      <c r="I804" s="81"/>
      <c r="J804" s="81"/>
      <c r="K804" s="318"/>
      <c r="L804" s="81"/>
      <c r="M804" s="298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spans="1:26" ht="13.5" customHeight="1">
      <c r="A805" s="81"/>
      <c r="G805" s="81"/>
      <c r="H805" s="81"/>
      <c r="I805" s="81"/>
      <c r="J805" s="81"/>
      <c r="K805" s="318"/>
      <c r="L805" s="81"/>
      <c r="M805" s="298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spans="1:26" ht="13.5" customHeight="1">
      <c r="A806" s="81"/>
      <c r="G806" s="81"/>
      <c r="H806" s="81"/>
      <c r="I806" s="81"/>
      <c r="J806" s="81"/>
      <c r="K806" s="318"/>
      <c r="L806" s="81"/>
      <c r="M806" s="298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spans="1:26" ht="13.5" customHeight="1">
      <c r="A807" s="81"/>
      <c r="G807" s="81"/>
      <c r="H807" s="81"/>
      <c r="I807" s="81"/>
      <c r="J807" s="81"/>
      <c r="K807" s="318"/>
      <c r="L807" s="81"/>
      <c r="M807" s="298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spans="1:26" ht="13.5" customHeight="1">
      <c r="A808" s="81"/>
      <c r="G808" s="81"/>
      <c r="H808" s="81"/>
      <c r="I808" s="81"/>
      <c r="J808" s="81"/>
      <c r="K808" s="318"/>
      <c r="L808" s="81"/>
      <c r="M808" s="298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spans="1:26" ht="13.5" customHeight="1">
      <c r="A809" s="81"/>
      <c r="G809" s="81"/>
      <c r="H809" s="81"/>
      <c r="I809" s="81"/>
      <c r="J809" s="81"/>
      <c r="K809" s="318"/>
      <c r="L809" s="81"/>
      <c r="M809" s="298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spans="1:26" ht="13.5" customHeight="1">
      <c r="A810" s="81"/>
      <c r="G810" s="81"/>
      <c r="H810" s="81"/>
      <c r="I810" s="81"/>
      <c r="J810" s="81"/>
      <c r="K810" s="318"/>
      <c r="L810" s="81"/>
      <c r="M810" s="298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spans="1:26" ht="13.5" customHeight="1">
      <c r="A811" s="81"/>
      <c r="G811" s="81"/>
      <c r="H811" s="81"/>
      <c r="I811" s="81"/>
      <c r="J811" s="81"/>
      <c r="K811" s="318"/>
      <c r="L811" s="81"/>
      <c r="M811" s="298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spans="1:26" ht="13.5" customHeight="1">
      <c r="A812" s="81"/>
      <c r="G812" s="81"/>
      <c r="H812" s="81"/>
      <c r="I812" s="81"/>
      <c r="J812" s="81"/>
      <c r="K812" s="318"/>
      <c r="L812" s="81"/>
      <c r="M812" s="298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spans="1:26" ht="13.5" customHeight="1">
      <c r="A813" s="81"/>
      <c r="G813" s="81"/>
      <c r="H813" s="81"/>
      <c r="I813" s="81"/>
      <c r="J813" s="81"/>
      <c r="K813" s="318"/>
      <c r="L813" s="81"/>
      <c r="M813" s="298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spans="1:26" ht="13.5" customHeight="1">
      <c r="A814" s="81"/>
      <c r="G814" s="81"/>
      <c r="H814" s="81"/>
      <c r="I814" s="81"/>
      <c r="J814" s="81"/>
      <c r="K814" s="318"/>
      <c r="L814" s="81"/>
      <c r="M814" s="298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spans="1:26" ht="13.5" customHeight="1">
      <c r="A815" s="81"/>
      <c r="G815" s="81"/>
      <c r="H815" s="81"/>
      <c r="I815" s="81"/>
      <c r="J815" s="81"/>
      <c r="K815" s="318"/>
      <c r="L815" s="81"/>
      <c r="M815" s="298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spans="1:26" ht="13.5" customHeight="1">
      <c r="A816" s="81"/>
      <c r="G816" s="81"/>
      <c r="H816" s="81"/>
      <c r="I816" s="81"/>
      <c r="J816" s="81"/>
      <c r="K816" s="318"/>
      <c r="L816" s="81"/>
      <c r="M816" s="298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spans="1:26" ht="13.5" customHeight="1">
      <c r="A817" s="81"/>
      <c r="G817" s="81"/>
      <c r="H817" s="81"/>
      <c r="I817" s="81"/>
      <c r="J817" s="81"/>
      <c r="K817" s="318"/>
      <c r="L817" s="81"/>
      <c r="M817" s="298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spans="1:26" ht="13.5" customHeight="1">
      <c r="A818" s="81"/>
      <c r="G818" s="81"/>
      <c r="H818" s="81"/>
      <c r="I818" s="81"/>
      <c r="J818" s="81"/>
      <c r="K818" s="318"/>
      <c r="L818" s="81"/>
      <c r="M818" s="298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spans="1:26" ht="13.5" customHeight="1">
      <c r="A819" s="81"/>
      <c r="G819" s="81"/>
      <c r="H819" s="81"/>
      <c r="I819" s="81"/>
      <c r="J819" s="81"/>
      <c r="K819" s="318"/>
      <c r="L819" s="81"/>
      <c r="M819" s="298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spans="1:26" ht="13.5" customHeight="1">
      <c r="A820" s="81"/>
      <c r="G820" s="81"/>
      <c r="H820" s="81"/>
      <c r="I820" s="81"/>
      <c r="J820" s="81"/>
      <c r="K820" s="318"/>
      <c r="L820" s="81"/>
      <c r="M820" s="298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spans="1:26" ht="13.5" customHeight="1">
      <c r="A821" s="81"/>
      <c r="G821" s="81"/>
      <c r="H821" s="81"/>
      <c r="I821" s="81"/>
      <c r="J821" s="81"/>
      <c r="K821" s="318"/>
      <c r="L821" s="81"/>
      <c r="M821" s="298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spans="1:26" ht="13.5" customHeight="1">
      <c r="A822" s="81"/>
      <c r="G822" s="81"/>
      <c r="H822" s="81"/>
      <c r="I822" s="81"/>
      <c r="J822" s="81"/>
      <c r="K822" s="318"/>
      <c r="L822" s="81"/>
      <c r="M822" s="298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spans="1:26" ht="13.5" customHeight="1">
      <c r="A823" s="81"/>
      <c r="G823" s="81"/>
      <c r="H823" s="81"/>
      <c r="I823" s="81"/>
      <c r="J823" s="81"/>
      <c r="K823" s="318"/>
      <c r="L823" s="81"/>
      <c r="M823" s="298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spans="1:26" ht="13.5" customHeight="1">
      <c r="A824" s="81"/>
      <c r="G824" s="81"/>
      <c r="H824" s="81"/>
      <c r="I824" s="81"/>
      <c r="J824" s="81"/>
      <c r="K824" s="318"/>
      <c r="L824" s="81"/>
      <c r="M824" s="298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spans="1:26" ht="13.5" customHeight="1">
      <c r="A825" s="81"/>
      <c r="G825" s="81"/>
      <c r="H825" s="81"/>
      <c r="I825" s="81"/>
      <c r="J825" s="81"/>
      <c r="K825" s="318"/>
      <c r="L825" s="81"/>
      <c r="M825" s="298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spans="1:26" ht="13.5" customHeight="1">
      <c r="A826" s="81"/>
      <c r="G826" s="81"/>
      <c r="H826" s="81"/>
      <c r="I826" s="81"/>
      <c r="J826" s="81"/>
      <c r="K826" s="318"/>
      <c r="L826" s="81"/>
      <c r="M826" s="298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spans="1:26" ht="13.5" customHeight="1">
      <c r="A827" s="81"/>
      <c r="G827" s="81"/>
      <c r="H827" s="81"/>
      <c r="I827" s="81"/>
      <c r="J827" s="81"/>
      <c r="K827" s="318"/>
      <c r="L827" s="81"/>
      <c r="M827" s="298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spans="1:26" ht="13.5" customHeight="1">
      <c r="A828" s="81"/>
      <c r="G828" s="81"/>
      <c r="H828" s="81"/>
      <c r="I828" s="81"/>
      <c r="J828" s="81"/>
      <c r="K828" s="318"/>
      <c r="L828" s="81"/>
      <c r="M828" s="298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spans="1:26" ht="13.5" customHeight="1">
      <c r="A829" s="81"/>
      <c r="G829" s="81"/>
      <c r="H829" s="81"/>
      <c r="I829" s="81"/>
      <c r="J829" s="81"/>
      <c r="K829" s="318"/>
      <c r="L829" s="81"/>
      <c r="M829" s="298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spans="1:26" ht="13.5" customHeight="1">
      <c r="A830" s="81"/>
      <c r="G830" s="81"/>
      <c r="H830" s="81"/>
      <c r="I830" s="81"/>
      <c r="J830" s="81"/>
      <c r="K830" s="318"/>
      <c r="L830" s="81"/>
      <c r="M830" s="298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spans="1:26" ht="13.5" customHeight="1">
      <c r="A831" s="81"/>
      <c r="G831" s="81"/>
      <c r="H831" s="81"/>
      <c r="I831" s="81"/>
      <c r="J831" s="81"/>
      <c r="K831" s="318"/>
      <c r="L831" s="81"/>
      <c r="M831" s="298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spans="1:26" ht="13.5" customHeight="1">
      <c r="A832" s="81"/>
      <c r="G832" s="81"/>
      <c r="H832" s="81"/>
      <c r="I832" s="81"/>
      <c r="J832" s="81"/>
      <c r="K832" s="318"/>
      <c r="L832" s="81"/>
      <c r="M832" s="298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spans="1:26" ht="13.5" customHeight="1">
      <c r="A833" s="81"/>
      <c r="G833" s="81"/>
      <c r="H833" s="81"/>
      <c r="I833" s="81"/>
      <c r="J833" s="81"/>
      <c r="K833" s="318"/>
      <c r="L833" s="81"/>
      <c r="M833" s="298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spans="1:26" ht="13.5" customHeight="1">
      <c r="A834" s="81"/>
      <c r="G834" s="81"/>
      <c r="H834" s="81"/>
      <c r="I834" s="81"/>
      <c r="J834" s="81"/>
      <c r="K834" s="318"/>
      <c r="L834" s="81"/>
      <c r="M834" s="298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spans="1:26" ht="13.5" customHeight="1">
      <c r="A835" s="81"/>
      <c r="G835" s="81"/>
      <c r="H835" s="81"/>
      <c r="I835" s="81"/>
      <c r="J835" s="81"/>
      <c r="K835" s="318"/>
      <c r="L835" s="81"/>
      <c r="M835" s="298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spans="1:26" ht="13.5" customHeight="1">
      <c r="A836" s="81"/>
      <c r="G836" s="81"/>
      <c r="H836" s="81"/>
      <c r="I836" s="81"/>
      <c r="J836" s="81"/>
      <c r="K836" s="318"/>
      <c r="L836" s="81"/>
      <c r="M836" s="298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spans="1:26" ht="13.5" customHeight="1">
      <c r="A837" s="81"/>
      <c r="G837" s="81"/>
      <c r="H837" s="81"/>
      <c r="I837" s="81"/>
      <c r="J837" s="81"/>
      <c r="K837" s="318"/>
      <c r="L837" s="81"/>
      <c r="M837" s="298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spans="1:26" ht="13.5" customHeight="1">
      <c r="A838" s="81"/>
      <c r="G838" s="81"/>
      <c r="H838" s="81"/>
      <c r="I838" s="81"/>
      <c r="J838" s="81"/>
      <c r="K838" s="318"/>
      <c r="L838" s="81"/>
      <c r="M838" s="298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spans="1:26" ht="13.5" customHeight="1">
      <c r="A839" s="81"/>
      <c r="G839" s="81"/>
      <c r="H839" s="81"/>
      <c r="I839" s="81"/>
      <c r="J839" s="81"/>
      <c r="K839" s="318"/>
      <c r="L839" s="81"/>
      <c r="M839" s="298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spans="1:26" ht="13.5" customHeight="1">
      <c r="A840" s="81"/>
      <c r="G840" s="81"/>
      <c r="H840" s="81"/>
      <c r="I840" s="81"/>
      <c r="J840" s="81"/>
      <c r="K840" s="318"/>
      <c r="L840" s="81"/>
      <c r="M840" s="298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spans="1:26" ht="13.5" customHeight="1">
      <c r="A841" s="81"/>
      <c r="G841" s="81"/>
      <c r="H841" s="81"/>
      <c r="I841" s="81"/>
      <c r="J841" s="81"/>
      <c r="K841" s="318"/>
      <c r="L841" s="81"/>
      <c r="M841" s="298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spans="1:26" ht="13.5" customHeight="1">
      <c r="A842" s="81"/>
      <c r="G842" s="81"/>
      <c r="H842" s="81"/>
      <c r="I842" s="81"/>
      <c r="J842" s="81"/>
      <c r="K842" s="318"/>
      <c r="L842" s="81"/>
      <c r="M842" s="298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spans="1:26" ht="13.5" customHeight="1">
      <c r="A843" s="81"/>
      <c r="G843" s="81"/>
      <c r="H843" s="81"/>
      <c r="I843" s="81"/>
      <c r="J843" s="81"/>
      <c r="K843" s="318"/>
      <c r="L843" s="81"/>
      <c r="M843" s="298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spans="1:26" ht="13.5" customHeight="1">
      <c r="A844" s="81"/>
      <c r="G844" s="81"/>
      <c r="H844" s="81"/>
      <c r="I844" s="81"/>
      <c r="J844" s="81"/>
      <c r="K844" s="318"/>
      <c r="L844" s="81"/>
      <c r="M844" s="298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spans="1:26" ht="13.5" customHeight="1">
      <c r="A845" s="81"/>
      <c r="G845" s="81"/>
      <c r="H845" s="81"/>
      <c r="I845" s="81"/>
      <c r="J845" s="81"/>
      <c r="K845" s="318"/>
      <c r="L845" s="81"/>
      <c r="M845" s="298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spans="1:26" ht="13.5" customHeight="1">
      <c r="A846" s="81"/>
      <c r="G846" s="81"/>
      <c r="H846" s="81"/>
      <c r="I846" s="81"/>
      <c r="J846" s="81"/>
      <c r="K846" s="318"/>
      <c r="L846" s="81"/>
      <c r="M846" s="298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spans="1:26" ht="13.5" customHeight="1">
      <c r="A847" s="81"/>
      <c r="G847" s="81"/>
      <c r="H847" s="81"/>
      <c r="I847" s="81"/>
      <c r="J847" s="81"/>
      <c r="K847" s="318"/>
      <c r="L847" s="81"/>
      <c r="M847" s="298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spans="1:26" ht="13.5" customHeight="1">
      <c r="A848" s="81"/>
      <c r="G848" s="81"/>
      <c r="H848" s="81"/>
      <c r="I848" s="81"/>
      <c r="J848" s="81"/>
      <c r="K848" s="318"/>
      <c r="L848" s="81"/>
      <c r="M848" s="298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spans="1:26" ht="13.5" customHeight="1">
      <c r="A849" s="81"/>
      <c r="G849" s="81"/>
      <c r="H849" s="81"/>
      <c r="I849" s="81"/>
      <c r="J849" s="81"/>
      <c r="K849" s="318"/>
      <c r="L849" s="81"/>
      <c r="M849" s="298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spans="1:26" ht="13.5" customHeight="1">
      <c r="A850" s="81"/>
      <c r="G850" s="81"/>
      <c r="H850" s="81"/>
      <c r="I850" s="81"/>
      <c r="J850" s="81"/>
      <c r="K850" s="318"/>
      <c r="L850" s="81"/>
      <c r="M850" s="298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spans="1:26" ht="13.5" customHeight="1">
      <c r="A851" s="81"/>
      <c r="G851" s="81"/>
      <c r="H851" s="81"/>
      <c r="I851" s="81"/>
      <c r="J851" s="81"/>
      <c r="K851" s="318"/>
      <c r="L851" s="81"/>
      <c r="M851" s="298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spans="1:26" ht="13.5" customHeight="1">
      <c r="A852" s="81"/>
      <c r="G852" s="81"/>
      <c r="H852" s="81"/>
      <c r="I852" s="81"/>
      <c r="J852" s="81"/>
      <c r="K852" s="318"/>
      <c r="L852" s="81"/>
      <c r="M852" s="298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spans="1:26" ht="13.5" customHeight="1">
      <c r="A853" s="81"/>
      <c r="G853" s="81"/>
      <c r="H853" s="81"/>
      <c r="I853" s="81"/>
      <c r="J853" s="81"/>
      <c r="K853" s="318"/>
      <c r="L853" s="81"/>
      <c r="M853" s="298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spans="1:26" ht="13.5" customHeight="1">
      <c r="A854" s="81"/>
      <c r="G854" s="81"/>
      <c r="H854" s="81"/>
      <c r="I854" s="81"/>
      <c r="J854" s="81"/>
      <c r="K854" s="318"/>
      <c r="L854" s="81"/>
      <c r="M854" s="298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spans="1:26" ht="13.5" customHeight="1">
      <c r="A855" s="81"/>
      <c r="G855" s="81"/>
      <c r="H855" s="81"/>
      <c r="I855" s="81"/>
      <c r="J855" s="81"/>
      <c r="K855" s="318"/>
      <c r="L855" s="81"/>
      <c r="M855" s="298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spans="1:26" ht="13.5" customHeight="1">
      <c r="A856" s="81"/>
      <c r="G856" s="81"/>
      <c r="H856" s="81"/>
      <c r="I856" s="81"/>
      <c r="J856" s="81"/>
      <c r="K856" s="318"/>
      <c r="L856" s="81"/>
      <c r="M856" s="298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spans="1:26" ht="13.5" customHeight="1">
      <c r="A857" s="81"/>
      <c r="G857" s="81"/>
      <c r="H857" s="81"/>
      <c r="I857" s="81"/>
      <c r="J857" s="81"/>
      <c r="K857" s="318"/>
      <c r="L857" s="81"/>
      <c r="M857" s="298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spans="1:26" ht="13.5" customHeight="1">
      <c r="A858" s="81"/>
      <c r="G858" s="81"/>
      <c r="H858" s="81"/>
      <c r="I858" s="81"/>
      <c r="J858" s="81"/>
      <c r="K858" s="318"/>
      <c r="L858" s="81"/>
      <c r="M858" s="298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spans="1:26" ht="13.5" customHeight="1">
      <c r="A859" s="81"/>
      <c r="G859" s="81"/>
      <c r="H859" s="81"/>
      <c r="I859" s="81"/>
      <c r="J859" s="81"/>
      <c r="K859" s="318"/>
      <c r="L859" s="81"/>
      <c r="M859" s="298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spans="1:26" ht="13.5" customHeight="1">
      <c r="A860" s="81"/>
      <c r="G860" s="81"/>
      <c r="H860" s="81"/>
      <c r="I860" s="81"/>
      <c r="J860" s="81"/>
      <c r="K860" s="318"/>
      <c r="L860" s="81"/>
      <c r="M860" s="298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spans="1:26" ht="13.5" customHeight="1">
      <c r="A861" s="81"/>
      <c r="G861" s="81"/>
      <c r="H861" s="81"/>
      <c r="I861" s="81"/>
      <c r="J861" s="81"/>
      <c r="K861" s="318"/>
      <c r="L861" s="81"/>
      <c r="M861" s="298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spans="1:26" ht="13.5" customHeight="1">
      <c r="A862" s="81"/>
      <c r="G862" s="81"/>
      <c r="H862" s="81"/>
      <c r="I862" s="81"/>
      <c r="J862" s="81"/>
      <c r="K862" s="318"/>
      <c r="L862" s="81"/>
      <c r="M862" s="298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spans="1:26" ht="13.5" customHeight="1">
      <c r="A863" s="81"/>
      <c r="G863" s="81"/>
      <c r="H863" s="81"/>
      <c r="I863" s="81"/>
      <c r="J863" s="81"/>
      <c r="K863" s="318"/>
      <c r="L863" s="81"/>
      <c r="M863" s="298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spans="1:26" ht="13.5" customHeight="1">
      <c r="A864" s="81"/>
      <c r="G864" s="81"/>
      <c r="H864" s="81"/>
      <c r="I864" s="81"/>
      <c r="J864" s="81"/>
      <c r="K864" s="318"/>
      <c r="L864" s="81"/>
      <c r="M864" s="298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spans="1:26" ht="13.5" customHeight="1">
      <c r="A865" s="81"/>
      <c r="G865" s="81"/>
      <c r="H865" s="81"/>
      <c r="I865" s="81"/>
      <c r="J865" s="81"/>
      <c r="K865" s="318"/>
      <c r="L865" s="81"/>
      <c r="M865" s="298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spans="1:26" ht="13.5" customHeight="1">
      <c r="A866" s="81"/>
      <c r="G866" s="81"/>
      <c r="H866" s="81"/>
      <c r="I866" s="81"/>
      <c r="J866" s="81"/>
      <c r="K866" s="318"/>
      <c r="L866" s="81"/>
      <c r="M866" s="298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spans="1:26" ht="13.5" customHeight="1">
      <c r="A867" s="81"/>
      <c r="G867" s="81"/>
      <c r="H867" s="81"/>
      <c r="I867" s="81"/>
      <c r="J867" s="81"/>
      <c r="K867" s="318"/>
      <c r="L867" s="81"/>
      <c r="M867" s="298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spans="1:26" ht="13.5" customHeight="1">
      <c r="A868" s="81"/>
      <c r="G868" s="81"/>
      <c r="H868" s="81"/>
      <c r="I868" s="81"/>
      <c r="J868" s="81"/>
      <c r="K868" s="318"/>
      <c r="L868" s="81"/>
      <c r="M868" s="298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spans="1:26" ht="13.5" customHeight="1">
      <c r="A869" s="81"/>
      <c r="G869" s="81"/>
      <c r="H869" s="81"/>
      <c r="I869" s="81"/>
      <c r="J869" s="81"/>
      <c r="K869" s="318"/>
      <c r="L869" s="81"/>
      <c r="M869" s="298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spans="1:26" ht="13.5" customHeight="1">
      <c r="A870" s="81"/>
      <c r="G870" s="81"/>
      <c r="H870" s="81"/>
      <c r="I870" s="81"/>
      <c r="J870" s="81"/>
      <c r="K870" s="318"/>
      <c r="L870" s="81"/>
      <c r="M870" s="298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spans="1:26" ht="13.5" customHeight="1">
      <c r="A871" s="81"/>
      <c r="G871" s="81"/>
      <c r="H871" s="81"/>
      <c r="I871" s="81"/>
      <c r="J871" s="81"/>
      <c r="K871" s="318"/>
      <c r="L871" s="81"/>
      <c r="M871" s="298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spans="1:26" ht="13.5" customHeight="1">
      <c r="A872" s="81"/>
      <c r="G872" s="81"/>
      <c r="H872" s="81"/>
      <c r="I872" s="81"/>
      <c r="J872" s="81"/>
      <c r="K872" s="318"/>
      <c r="L872" s="81"/>
      <c r="M872" s="298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spans="1:26" ht="13.5" customHeight="1">
      <c r="A873" s="81"/>
      <c r="G873" s="81"/>
      <c r="H873" s="81"/>
      <c r="I873" s="81"/>
      <c r="J873" s="81"/>
      <c r="K873" s="318"/>
      <c r="L873" s="81"/>
      <c r="M873" s="298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spans="1:26" ht="13.5" customHeight="1">
      <c r="A874" s="81"/>
      <c r="G874" s="81"/>
      <c r="H874" s="81"/>
      <c r="I874" s="81"/>
      <c r="J874" s="81"/>
      <c r="K874" s="318"/>
      <c r="L874" s="81"/>
      <c r="M874" s="298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spans="1:26" ht="13.5" customHeight="1">
      <c r="A875" s="81"/>
      <c r="G875" s="81"/>
      <c r="H875" s="81"/>
      <c r="I875" s="81"/>
      <c r="J875" s="81"/>
      <c r="K875" s="318"/>
      <c r="L875" s="81"/>
      <c r="M875" s="298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spans="1:26" ht="13.5" customHeight="1">
      <c r="A876" s="81"/>
      <c r="G876" s="81"/>
      <c r="H876" s="81"/>
      <c r="I876" s="81"/>
      <c r="J876" s="81"/>
      <c r="K876" s="318"/>
      <c r="L876" s="81"/>
      <c r="M876" s="298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spans="1:26" ht="13.5" customHeight="1">
      <c r="A877" s="81"/>
      <c r="G877" s="81"/>
      <c r="H877" s="81"/>
      <c r="I877" s="81"/>
      <c r="J877" s="81"/>
      <c r="K877" s="318"/>
      <c r="L877" s="81"/>
      <c r="M877" s="298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spans="1:26" ht="13.5" customHeight="1">
      <c r="A878" s="81"/>
      <c r="G878" s="81"/>
      <c r="H878" s="81"/>
      <c r="I878" s="81"/>
      <c r="J878" s="81"/>
      <c r="K878" s="318"/>
      <c r="L878" s="81"/>
      <c r="M878" s="298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spans="1:26" ht="13.5" customHeight="1">
      <c r="A879" s="81"/>
      <c r="G879" s="81"/>
      <c r="H879" s="81"/>
      <c r="I879" s="81"/>
      <c r="J879" s="81"/>
      <c r="K879" s="318"/>
      <c r="L879" s="81"/>
      <c r="M879" s="298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spans="1:26" ht="13.5" customHeight="1">
      <c r="A880" s="81"/>
      <c r="G880" s="81"/>
      <c r="H880" s="81"/>
      <c r="I880" s="81"/>
      <c r="J880" s="81"/>
      <c r="K880" s="318"/>
      <c r="L880" s="81"/>
      <c r="M880" s="298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spans="1:26" ht="13.5" customHeight="1">
      <c r="A881" s="81"/>
      <c r="G881" s="81"/>
      <c r="H881" s="81"/>
      <c r="I881" s="81"/>
      <c r="J881" s="81"/>
      <c r="K881" s="318"/>
      <c r="L881" s="81"/>
      <c r="M881" s="298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spans="1:26" ht="13.5" customHeight="1">
      <c r="A882" s="81"/>
      <c r="G882" s="81"/>
      <c r="H882" s="81"/>
      <c r="I882" s="81"/>
      <c r="J882" s="81"/>
      <c r="K882" s="318"/>
      <c r="L882" s="81"/>
      <c r="M882" s="298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spans="1:26" ht="13.5" customHeight="1">
      <c r="A883" s="81"/>
      <c r="G883" s="81"/>
      <c r="H883" s="81"/>
      <c r="I883" s="81"/>
      <c r="J883" s="81"/>
      <c r="K883" s="318"/>
      <c r="L883" s="81"/>
      <c r="M883" s="298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spans="1:26" ht="13.5" customHeight="1">
      <c r="A884" s="81"/>
      <c r="G884" s="81"/>
      <c r="H884" s="81"/>
      <c r="I884" s="81"/>
      <c r="J884" s="81"/>
      <c r="K884" s="318"/>
      <c r="L884" s="81"/>
      <c r="M884" s="298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spans="1:26" ht="13.5" customHeight="1">
      <c r="A885" s="81"/>
      <c r="G885" s="81"/>
      <c r="H885" s="81"/>
      <c r="I885" s="81"/>
      <c r="J885" s="81"/>
      <c r="K885" s="318"/>
      <c r="L885" s="81"/>
      <c r="M885" s="298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spans="1:26" ht="13.5" customHeight="1">
      <c r="A886" s="81"/>
      <c r="G886" s="81"/>
      <c r="H886" s="81"/>
      <c r="I886" s="81"/>
      <c r="J886" s="81"/>
      <c r="K886" s="318"/>
      <c r="L886" s="81"/>
      <c r="M886" s="298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spans="1:26" ht="13.5" customHeight="1">
      <c r="A887" s="81"/>
      <c r="G887" s="81"/>
      <c r="H887" s="81"/>
      <c r="I887" s="81"/>
      <c r="J887" s="81"/>
      <c r="K887" s="318"/>
      <c r="L887" s="81"/>
      <c r="M887" s="298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spans="1:26" ht="13.5" customHeight="1">
      <c r="A888" s="81"/>
      <c r="G888" s="81"/>
      <c r="H888" s="81"/>
      <c r="I888" s="81"/>
      <c r="J888" s="81"/>
      <c r="K888" s="318"/>
      <c r="L888" s="81"/>
      <c r="M888" s="298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spans="1:26" ht="13.5" customHeight="1">
      <c r="A889" s="81"/>
      <c r="G889" s="81"/>
      <c r="H889" s="81"/>
      <c r="I889" s="81"/>
      <c r="J889" s="81"/>
      <c r="K889" s="318"/>
      <c r="L889" s="81"/>
      <c r="M889" s="298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spans="1:26" ht="13.5" customHeight="1">
      <c r="A890" s="81"/>
      <c r="G890" s="81"/>
      <c r="H890" s="81"/>
      <c r="I890" s="81"/>
      <c r="J890" s="81"/>
      <c r="K890" s="318"/>
      <c r="L890" s="81"/>
      <c r="M890" s="298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spans="1:26" ht="13.5" customHeight="1">
      <c r="A891" s="81"/>
      <c r="G891" s="81"/>
      <c r="H891" s="81"/>
      <c r="I891" s="81"/>
      <c r="J891" s="81"/>
      <c r="K891" s="318"/>
      <c r="L891" s="81"/>
      <c r="M891" s="298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spans="1:26" ht="13.5" customHeight="1">
      <c r="A892" s="81"/>
      <c r="G892" s="81"/>
      <c r="H892" s="81"/>
      <c r="I892" s="81"/>
      <c r="J892" s="81"/>
      <c r="K892" s="318"/>
      <c r="L892" s="81"/>
      <c r="M892" s="298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spans="1:26" ht="13.5" customHeight="1">
      <c r="A893" s="81"/>
      <c r="G893" s="81"/>
      <c r="H893" s="81"/>
      <c r="I893" s="81"/>
      <c r="J893" s="81"/>
      <c r="K893" s="318"/>
      <c r="L893" s="81"/>
      <c r="M893" s="298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spans="1:26" ht="13.5" customHeight="1">
      <c r="A894" s="81"/>
      <c r="G894" s="81"/>
      <c r="H894" s="81"/>
      <c r="I894" s="81"/>
      <c r="J894" s="81"/>
      <c r="K894" s="318"/>
      <c r="L894" s="81"/>
      <c r="M894" s="298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spans="1:26" ht="13.5" customHeight="1">
      <c r="A895" s="81"/>
      <c r="G895" s="81"/>
      <c r="H895" s="81"/>
      <c r="I895" s="81"/>
      <c r="J895" s="81"/>
      <c r="K895" s="318"/>
      <c r="L895" s="81"/>
      <c r="M895" s="298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spans="1:26" ht="13.5" customHeight="1">
      <c r="A896" s="81"/>
      <c r="G896" s="81"/>
      <c r="H896" s="81"/>
      <c r="I896" s="81"/>
      <c r="J896" s="81"/>
      <c r="K896" s="318"/>
      <c r="L896" s="81"/>
      <c r="M896" s="298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spans="1:26" ht="13.5" customHeight="1">
      <c r="A897" s="81"/>
      <c r="G897" s="81"/>
      <c r="H897" s="81"/>
      <c r="I897" s="81"/>
      <c r="J897" s="81"/>
      <c r="K897" s="318"/>
      <c r="L897" s="81"/>
      <c r="M897" s="298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spans="1:26" ht="13.5" customHeight="1">
      <c r="A898" s="81"/>
      <c r="G898" s="81"/>
      <c r="H898" s="81"/>
      <c r="I898" s="81"/>
      <c r="J898" s="81"/>
      <c r="K898" s="318"/>
      <c r="L898" s="81"/>
      <c r="M898" s="298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spans="1:26" ht="13.5" customHeight="1">
      <c r="A899" s="81"/>
      <c r="G899" s="81"/>
      <c r="H899" s="81"/>
      <c r="I899" s="81"/>
      <c r="J899" s="81"/>
      <c r="K899" s="318"/>
      <c r="L899" s="81"/>
      <c r="M899" s="298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spans="1:26" ht="13.5" customHeight="1">
      <c r="A900" s="81"/>
      <c r="G900" s="81"/>
      <c r="H900" s="81"/>
      <c r="I900" s="81"/>
      <c r="J900" s="81"/>
      <c r="K900" s="318"/>
      <c r="L900" s="81"/>
      <c r="M900" s="298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spans="1:26" ht="13.5" customHeight="1">
      <c r="A901" s="81"/>
      <c r="G901" s="81"/>
      <c r="H901" s="81"/>
      <c r="I901" s="81"/>
      <c r="J901" s="81"/>
      <c r="K901" s="318"/>
      <c r="L901" s="81"/>
      <c r="M901" s="298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spans="1:26" ht="13.5" customHeight="1">
      <c r="A902" s="81"/>
      <c r="G902" s="81"/>
      <c r="H902" s="81"/>
      <c r="I902" s="81"/>
      <c r="J902" s="81"/>
      <c r="K902" s="318"/>
      <c r="L902" s="81"/>
      <c r="M902" s="298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spans="1:26" ht="13.5" customHeight="1">
      <c r="A903" s="81"/>
      <c r="G903" s="81"/>
      <c r="H903" s="81"/>
      <c r="I903" s="81"/>
      <c r="J903" s="81"/>
      <c r="K903" s="318"/>
      <c r="L903" s="81"/>
      <c r="M903" s="298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spans="1:26" ht="13.5" customHeight="1">
      <c r="A904" s="81"/>
      <c r="G904" s="81"/>
      <c r="H904" s="81"/>
      <c r="I904" s="81"/>
      <c r="J904" s="81"/>
      <c r="K904" s="318"/>
      <c r="L904" s="81"/>
      <c r="M904" s="298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spans="1:26" ht="13.5" customHeight="1">
      <c r="A905" s="81"/>
      <c r="G905" s="81"/>
      <c r="H905" s="81"/>
      <c r="I905" s="81"/>
      <c r="J905" s="81"/>
      <c r="K905" s="318"/>
      <c r="L905" s="81"/>
      <c r="M905" s="298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spans="1:26" ht="13.5" customHeight="1">
      <c r="A906" s="81"/>
      <c r="G906" s="81"/>
      <c r="H906" s="81"/>
      <c r="I906" s="81"/>
      <c r="J906" s="81"/>
      <c r="K906" s="318"/>
      <c r="L906" s="81"/>
      <c r="M906" s="298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spans="1:26" ht="13.5" customHeight="1">
      <c r="A907" s="81"/>
      <c r="G907" s="81"/>
      <c r="H907" s="81"/>
      <c r="I907" s="81"/>
      <c r="J907" s="81"/>
      <c r="K907" s="318"/>
      <c r="L907" s="81"/>
      <c r="M907" s="298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spans="1:26" ht="13.5" customHeight="1">
      <c r="A908" s="81"/>
      <c r="G908" s="81"/>
      <c r="H908" s="81"/>
      <c r="I908" s="81"/>
      <c r="J908" s="81"/>
      <c r="K908" s="318"/>
      <c r="L908" s="81"/>
      <c r="M908" s="298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spans="1:26" ht="13.5" customHeight="1">
      <c r="A909" s="81"/>
      <c r="G909" s="81"/>
      <c r="H909" s="81"/>
      <c r="I909" s="81"/>
      <c r="J909" s="81"/>
      <c r="K909" s="318"/>
      <c r="L909" s="81"/>
      <c r="M909" s="298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spans="1:26" ht="13.5" customHeight="1">
      <c r="A910" s="81"/>
      <c r="G910" s="81"/>
      <c r="H910" s="81"/>
      <c r="I910" s="81"/>
      <c r="J910" s="81"/>
      <c r="K910" s="318"/>
      <c r="L910" s="81"/>
      <c r="M910" s="298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spans="1:26" ht="13.5" customHeight="1">
      <c r="A911" s="81"/>
      <c r="G911" s="81"/>
      <c r="H911" s="81"/>
      <c r="I911" s="81"/>
      <c r="J911" s="81"/>
      <c r="K911" s="318"/>
      <c r="L911" s="81"/>
      <c r="M911" s="298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spans="1:26" ht="13.5" customHeight="1">
      <c r="A912" s="81"/>
      <c r="G912" s="81"/>
      <c r="H912" s="81"/>
      <c r="I912" s="81"/>
      <c r="J912" s="81"/>
      <c r="K912" s="318"/>
      <c r="L912" s="81"/>
      <c r="M912" s="298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spans="1:26" ht="13.5" customHeight="1">
      <c r="A913" s="81"/>
      <c r="G913" s="81"/>
      <c r="H913" s="81"/>
      <c r="I913" s="81"/>
      <c r="J913" s="81"/>
      <c r="K913" s="318"/>
      <c r="L913" s="81"/>
      <c r="M913" s="298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spans="1:26" ht="13.5" customHeight="1">
      <c r="A914" s="81"/>
      <c r="G914" s="81"/>
      <c r="H914" s="81"/>
      <c r="I914" s="81"/>
      <c r="J914" s="81"/>
      <c r="K914" s="318"/>
      <c r="L914" s="81"/>
      <c r="M914" s="298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spans="1:26" ht="13.5" customHeight="1">
      <c r="A915" s="81"/>
      <c r="G915" s="81"/>
      <c r="H915" s="81"/>
      <c r="I915" s="81"/>
      <c r="J915" s="81"/>
      <c r="K915" s="318"/>
      <c r="L915" s="81"/>
      <c r="M915" s="298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spans="1:26" ht="13.5" customHeight="1">
      <c r="A916" s="81"/>
      <c r="G916" s="81"/>
      <c r="H916" s="81"/>
      <c r="I916" s="81"/>
      <c r="J916" s="81"/>
      <c r="K916" s="318"/>
      <c r="L916" s="81"/>
      <c r="M916" s="298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spans="1:26" ht="13.5" customHeight="1">
      <c r="A917" s="81"/>
      <c r="G917" s="81"/>
      <c r="H917" s="81"/>
      <c r="I917" s="81"/>
      <c r="J917" s="81"/>
      <c r="K917" s="318"/>
      <c r="L917" s="81"/>
      <c r="M917" s="298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spans="1:26" ht="13.5" customHeight="1">
      <c r="A918" s="81"/>
      <c r="G918" s="81"/>
      <c r="H918" s="81"/>
      <c r="I918" s="81"/>
      <c r="J918" s="81"/>
      <c r="K918" s="318"/>
      <c r="L918" s="81"/>
      <c r="M918" s="298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spans="1:26" ht="13.5" customHeight="1">
      <c r="A919" s="81"/>
      <c r="G919" s="81"/>
      <c r="H919" s="81"/>
      <c r="I919" s="81"/>
      <c r="J919" s="81"/>
      <c r="K919" s="318"/>
      <c r="L919" s="81"/>
      <c r="M919" s="298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spans="1:26" ht="13.5" customHeight="1">
      <c r="A920" s="81"/>
      <c r="G920" s="81"/>
      <c r="H920" s="81"/>
      <c r="I920" s="81"/>
      <c r="J920" s="81"/>
      <c r="K920" s="318"/>
      <c r="L920" s="81"/>
      <c r="M920" s="298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spans="1:26" ht="13.5" customHeight="1">
      <c r="A921" s="81"/>
      <c r="G921" s="81"/>
      <c r="H921" s="81"/>
      <c r="I921" s="81"/>
      <c r="J921" s="81"/>
      <c r="K921" s="318"/>
      <c r="L921" s="81"/>
      <c r="M921" s="298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spans="1:26" ht="13.5" customHeight="1">
      <c r="A922" s="81"/>
      <c r="G922" s="81"/>
      <c r="H922" s="81"/>
      <c r="I922" s="81"/>
      <c r="J922" s="81"/>
      <c r="K922" s="318"/>
      <c r="L922" s="81"/>
      <c r="M922" s="298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spans="1:26" ht="13.5" customHeight="1">
      <c r="A923" s="81"/>
      <c r="G923" s="81"/>
      <c r="H923" s="81"/>
      <c r="I923" s="81"/>
      <c r="J923" s="81"/>
      <c r="K923" s="318"/>
      <c r="L923" s="81"/>
      <c r="M923" s="298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spans="1:26" ht="13.5" customHeight="1">
      <c r="A924" s="81"/>
      <c r="G924" s="81"/>
      <c r="H924" s="81"/>
      <c r="I924" s="81"/>
      <c r="J924" s="81"/>
      <c r="K924" s="318"/>
      <c r="L924" s="81"/>
      <c r="M924" s="298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spans="1:26" ht="13.5" customHeight="1">
      <c r="A925" s="81"/>
      <c r="G925" s="81"/>
      <c r="H925" s="81"/>
      <c r="I925" s="81"/>
      <c r="J925" s="81"/>
      <c r="K925" s="318"/>
      <c r="L925" s="81"/>
      <c r="M925" s="298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spans="1:26" ht="13.5" customHeight="1">
      <c r="A926" s="81"/>
      <c r="G926" s="81"/>
      <c r="H926" s="81"/>
      <c r="I926" s="81"/>
      <c r="J926" s="81"/>
      <c r="K926" s="318"/>
      <c r="L926" s="81"/>
      <c r="M926" s="298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spans="1:26" ht="13.5" customHeight="1">
      <c r="A927" s="81"/>
      <c r="G927" s="81"/>
      <c r="H927" s="81"/>
      <c r="I927" s="81"/>
      <c r="J927" s="81"/>
      <c r="K927" s="318"/>
      <c r="L927" s="81"/>
      <c r="M927" s="298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spans="1:26" ht="13.5" customHeight="1">
      <c r="A928" s="81"/>
      <c r="G928" s="81"/>
      <c r="H928" s="81"/>
      <c r="I928" s="81"/>
      <c r="J928" s="81"/>
      <c r="K928" s="318"/>
      <c r="L928" s="81"/>
      <c r="M928" s="298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spans="1:26" ht="13.5" customHeight="1">
      <c r="A929" s="81"/>
      <c r="G929" s="81"/>
      <c r="H929" s="81"/>
      <c r="I929" s="81"/>
      <c r="J929" s="81"/>
      <c r="K929" s="318"/>
      <c r="L929" s="81"/>
      <c r="M929" s="298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spans="1:26" ht="13.5" customHeight="1">
      <c r="A930" s="81"/>
      <c r="G930" s="81"/>
      <c r="H930" s="81"/>
      <c r="I930" s="81"/>
      <c r="J930" s="81"/>
      <c r="K930" s="318"/>
      <c r="L930" s="81"/>
      <c r="M930" s="298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spans="1:26" ht="13.5" customHeight="1">
      <c r="A931" s="81"/>
      <c r="G931" s="81"/>
      <c r="H931" s="81"/>
      <c r="I931" s="81"/>
      <c r="J931" s="81"/>
      <c r="K931" s="318"/>
      <c r="L931" s="81"/>
      <c r="M931" s="298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spans="1:26" ht="13.5" customHeight="1">
      <c r="A932" s="81"/>
      <c r="G932" s="81"/>
      <c r="H932" s="81"/>
      <c r="I932" s="81"/>
      <c r="J932" s="81"/>
      <c r="K932" s="318"/>
      <c r="L932" s="81"/>
      <c r="M932" s="298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spans="1:26" ht="13.5" customHeight="1">
      <c r="A933" s="81"/>
      <c r="G933" s="81"/>
      <c r="H933" s="81"/>
      <c r="I933" s="81"/>
      <c r="J933" s="81"/>
      <c r="K933" s="318"/>
      <c r="L933" s="81"/>
      <c r="M933" s="298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spans="1:26" ht="13.5" customHeight="1">
      <c r="A934" s="81"/>
      <c r="G934" s="81"/>
      <c r="H934" s="81"/>
      <c r="I934" s="81"/>
      <c r="J934" s="81"/>
      <c r="K934" s="318"/>
      <c r="L934" s="81"/>
      <c r="M934" s="298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spans="1:26" ht="13.5" customHeight="1">
      <c r="A935" s="81"/>
      <c r="G935" s="81"/>
      <c r="H935" s="81"/>
      <c r="I935" s="81"/>
      <c r="J935" s="81"/>
      <c r="K935" s="318"/>
      <c r="L935" s="81"/>
      <c r="M935" s="298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spans="1:26" ht="13.5" customHeight="1">
      <c r="A936" s="81"/>
      <c r="G936" s="81"/>
      <c r="H936" s="81"/>
      <c r="I936" s="81"/>
      <c r="J936" s="81"/>
      <c r="K936" s="318"/>
      <c r="L936" s="81"/>
      <c r="M936" s="298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spans="1:26" ht="13.5" customHeight="1">
      <c r="A937" s="81"/>
      <c r="G937" s="81"/>
      <c r="H937" s="81"/>
      <c r="I937" s="81"/>
      <c r="J937" s="81"/>
      <c r="K937" s="318"/>
      <c r="L937" s="81"/>
      <c r="M937" s="298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spans="1:26" ht="13.5" customHeight="1">
      <c r="A938" s="81"/>
      <c r="G938" s="81"/>
      <c r="H938" s="81"/>
      <c r="I938" s="81"/>
      <c r="J938" s="81"/>
      <c r="K938" s="318"/>
      <c r="L938" s="81"/>
      <c r="M938" s="298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spans="1:26" ht="13.5" customHeight="1">
      <c r="A939" s="81"/>
      <c r="G939" s="81"/>
      <c r="H939" s="81"/>
      <c r="I939" s="81"/>
      <c r="J939" s="81"/>
      <c r="K939" s="318"/>
      <c r="L939" s="81"/>
      <c r="M939" s="298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spans="1:26" ht="13.5" customHeight="1">
      <c r="A940" s="81"/>
      <c r="G940" s="81"/>
      <c r="H940" s="81"/>
      <c r="I940" s="81"/>
      <c r="J940" s="81"/>
      <c r="K940" s="318"/>
      <c r="L940" s="81"/>
      <c r="M940" s="298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spans="1:26" ht="13.5" customHeight="1">
      <c r="A941" s="81"/>
      <c r="G941" s="81"/>
      <c r="H941" s="81"/>
      <c r="I941" s="81"/>
      <c r="J941" s="81"/>
      <c r="K941" s="318"/>
      <c r="L941" s="81"/>
      <c r="M941" s="298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spans="1:26" ht="13.5" customHeight="1">
      <c r="A942" s="81"/>
      <c r="G942" s="81"/>
      <c r="H942" s="81"/>
      <c r="I942" s="81"/>
      <c r="J942" s="81"/>
      <c r="K942" s="318"/>
      <c r="L942" s="81"/>
      <c r="M942" s="298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spans="1:26" ht="13.5" customHeight="1">
      <c r="A943" s="81"/>
      <c r="G943" s="81"/>
      <c r="H943" s="81"/>
      <c r="I943" s="81"/>
      <c r="J943" s="81"/>
      <c r="K943" s="318"/>
      <c r="L943" s="81"/>
      <c r="M943" s="298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spans="1:26" ht="13.5" customHeight="1">
      <c r="A944" s="81"/>
      <c r="G944" s="81"/>
      <c r="H944" s="81"/>
      <c r="I944" s="81"/>
      <c r="J944" s="81"/>
      <c r="K944" s="318"/>
      <c r="L944" s="81"/>
      <c r="M944" s="298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spans="1:26" ht="13.5" customHeight="1">
      <c r="A945" s="81"/>
      <c r="G945" s="81"/>
      <c r="H945" s="81"/>
      <c r="I945" s="81"/>
      <c r="J945" s="81"/>
      <c r="K945" s="318"/>
      <c r="L945" s="81"/>
      <c r="M945" s="298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spans="1:26" ht="13.5" customHeight="1">
      <c r="A946" s="81"/>
      <c r="G946" s="81"/>
      <c r="H946" s="81"/>
      <c r="I946" s="81"/>
      <c r="J946" s="81"/>
      <c r="K946" s="318"/>
      <c r="L946" s="81"/>
      <c r="M946" s="298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spans="1:26" ht="13.5" customHeight="1">
      <c r="A947" s="81"/>
      <c r="G947" s="81"/>
      <c r="H947" s="81"/>
      <c r="I947" s="81"/>
      <c r="J947" s="81"/>
      <c r="K947" s="318"/>
      <c r="L947" s="81"/>
      <c r="M947" s="298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spans="1:26" ht="13.5" customHeight="1">
      <c r="A948" s="81"/>
      <c r="G948" s="81"/>
      <c r="H948" s="81"/>
      <c r="I948" s="81"/>
      <c r="J948" s="81"/>
      <c r="K948" s="318"/>
      <c r="L948" s="81"/>
      <c r="M948" s="298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spans="1:26" ht="13.5" customHeight="1">
      <c r="A949" s="81"/>
      <c r="G949" s="81"/>
      <c r="H949" s="81"/>
      <c r="I949" s="81"/>
      <c r="J949" s="81"/>
      <c r="K949" s="318"/>
      <c r="L949" s="81"/>
      <c r="M949" s="298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spans="1:26" ht="13.5" customHeight="1">
      <c r="A950" s="81"/>
      <c r="G950" s="81"/>
      <c r="H950" s="81"/>
      <c r="I950" s="81"/>
      <c r="J950" s="81"/>
      <c r="K950" s="318"/>
      <c r="L950" s="81"/>
      <c r="M950" s="298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spans="1:26" ht="13.5" customHeight="1">
      <c r="A951" s="81"/>
      <c r="G951" s="81"/>
      <c r="H951" s="81"/>
      <c r="I951" s="81"/>
      <c r="J951" s="81"/>
      <c r="K951" s="318"/>
      <c r="L951" s="81"/>
      <c r="M951" s="298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spans="1:26" ht="13.5" customHeight="1">
      <c r="A952" s="81"/>
      <c r="G952" s="81"/>
      <c r="H952" s="81"/>
      <c r="I952" s="81"/>
      <c r="J952" s="81"/>
      <c r="K952" s="318"/>
      <c r="L952" s="81"/>
      <c r="M952" s="298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spans="1:26" ht="13.5" customHeight="1">
      <c r="A953" s="81"/>
      <c r="G953" s="81"/>
      <c r="H953" s="81"/>
      <c r="I953" s="81"/>
      <c r="J953" s="81"/>
      <c r="K953" s="318"/>
      <c r="L953" s="81"/>
      <c r="M953" s="298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spans="1:26" ht="13.5" customHeight="1">
      <c r="A954" s="81"/>
      <c r="G954" s="81"/>
      <c r="H954" s="81"/>
      <c r="I954" s="81"/>
      <c r="J954" s="81"/>
      <c r="K954" s="318"/>
      <c r="L954" s="81"/>
      <c r="M954" s="298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spans="1:26" ht="13.5" customHeight="1">
      <c r="A955" s="81"/>
      <c r="G955" s="81"/>
      <c r="H955" s="81"/>
      <c r="I955" s="81"/>
      <c r="J955" s="81"/>
      <c r="K955" s="318"/>
      <c r="L955" s="81"/>
      <c r="M955" s="298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spans="1:26" ht="13.5" customHeight="1">
      <c r="A956" s="81"/>
      <c r="G956" s="81"/>
      <c r="H956" s="81"/>
      <c r="I956" s="81"/>
      <c r="J956" s="81"/>
      <c r="K956" s="318"/>
      <c r="L956" s="81"/>
      <c r="M956" s="298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spans="1:26" ht="13.5" customHeight="1">
      <c r="A957" s="81"/>
      <c r="G957" s="81"/>
      <c r="H957" s="81"/>
      <c r="I957" s="81"/>
      <c r="J957" s="81"/>
      <c r="K957" s="318"/>
      <c r="L957" s="81"/>
      <c r="M957" s="298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spans="1:26" ht="13.5" customHeight="1">
      <c r="A958" s="81"/>
      <c r="G958" s="81"/>
      <c r="H958" s="81"/>
      <c r="I958" s="81"/>
      <c r="J958" s="81"/>
      <c r="K958" s="318"/>
      <c r="L958" s="81"/>
      <c r="M958" s="298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spans="1:26" ht="13.5" customHeight="1">
      <c r="A959" s="81"/>
      <c r="G959" s="81"/>
      <c r="H959" s="81"/>
      <c r="I959" s="81"/>
      <c r="J959" s="81"/>
      <c r="K959" s="318"/>
      <c r="L959" s="81"/>
      <c r="M959" s="298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spans="1:26" ht="13.5" customHeight="1">
      <c r="A960" s="81"/>
      <c r="G960" s="81"/>
      <c r="H960" s="81"/>
      <c r="I960" s="81"/>
      <c r="J960" s="81"/>
      <c r="K960" s="318"/>
      <c r="L960" s="81"/>
      <c r="M960" s="298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spans="1:26" ht="13.5" customHeight="1">
      <c r="A961" s="81"/>
      <c r="G961" s="81"/>
      <c r="H961" s="81"/>
      <c r="I961" s="81"/>
      <c r="J961" s="81"/>
      <c r="K961" s="318"/>
      <c r="L961" s="81"/>
      <c r="M961" s="298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spans="1:26" ht="13.5" customHeight="1">
      <c r="A962" s="81"/>
      <c r="G962" s="81"/>
      <c r="H962" s="81"/>
      <c r="I962" s="81"/>
      <c r="J962" s="81"/>
      <c r="K962" s="318"/>
      <c r="L962" s="81"/>
      <c r="M962" s="298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spans="1:26" ht="13.5" customHeight="1">
      <c r="A963" s="81"/>
      <c r="G963" s="81"/>
      <c r="H963" s="81"/>
      <c r="I963" s="81"/>
      <c r="J963" s="81"/>
      <c r="K963" s="318"/>
      <c r="L963" s="81"/>
      <c r="M963" s="298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spans="1:26" ht="13.5" customHeight="1">
      <c r="A964" s="81"/>
      <c r="G964" s="81"/>
      <c r="H964" s="81"/>
      <c r="I964" s="81"/>
      <c r="J964" s="81"/>
      <c r="K964" s="318"/>
      <c r="L964" s="81"/>
      <c r="M964" s="298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spans="1:26" ht="13.5" customHeight="1">
      <c r="A965" s="81"/>
      <c r="G965" s="81"/>
      <c r="H965" s="81"/>
      <c r="I965" s="81"/>
      <c r="J965" s="81"/>
      <c r="K965" s="318"/>
      <c r="L965" s="81"/>
      <c r="M965" s="298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spans="1:26" ht="13.5" customHeight="1">
      <c r="A966" s="81"/>
      <c r="G966" s="81"/>
      <c r="H966" s="81"/>
      <c r="I966" s="81"/>
      <c r="J966" s="81"/>
      <c r="K966" s="318"/>
      <c r="L966" s="81"/>
      <c r="M966" s="298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spans="1:26" ht="13.5" customHeight="1">
      <c r="A967" s="81"/>
      <c r="G967" s="81"/>
      <c r="H967" s="81"/>
      <c r="I967" s="81"/>
      <c r="J967" s="81"/>
      <c r="K967" s="318"/>
      <c r="L967" s="81"/>
      <c r="M967" s="298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spans="1:26" ht="13.5" customHeight="1">
      <c r="A968" s="81"/>
      <c r="G968" s="81"/>
      <c r="H968" s="81"/>
      <c r="I968" s="81"/>
      <c r="J968" s="81"/>
      <c r="K968" s="318"/>
      <c r="L968" s="81"/>
      <c r="M968" s="298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spans="1:26" ht="13.5" customHeight="1">
      <c r="A969" s="81"/>
      <c r="G969" s="81"/>
      <c r="H969" s="81"/>
      <c r="I969" s="81"/>
      <c r="J969" s="81"/>
      <c r="K969" s="318"/>
      <c r="L969" s="81"/>
      <c r="M969" s="298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spans="1:26" ht="13.5" customHeight="1">
      <c r="A970" s="81"/>
      <c r="G970" s="81"/>
      <c r="H970" s="81"/>
      <c r="I970" s="81"/>
      <c r="J970" s="81"/>
      <c r="K970" s="318"/>
      <c r="L970" s="81"/>
      <c r="M970" s="298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spans="1:26" ht="13.5" customHeight="1">
      <c r="A971" s="81"/>
      <c r="G971" s="81"/>
      <c r="H971" s="81"/>
      <c r="I971" s="81"/>
      <c r="J971" s="81"/>
      <c r="K971" s="318"/>
      <c r="L971" s="81"/>
      <c r="M971" s="298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spans="1:26" ht="13.5" customHeight="1">
      <c r="A972" s="81"/>
      <c r="G972" s="81"/>
      <c r="H972" s="81"/>
      <c r="I972" s="81"/>
      <c r="J972" s="81"/>
      <c r="K972" s="318"/>
      <c r="L972" s="81"/>
      <c r="M972" s="298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spans="1:26" ht="13.5" customHeight="1">
      <c r="A973" s="81"/>
      <c r="G973" s="81"/>
      <c r="H973" s="81"/>
      <c r="I973" s="81"/>
      <c r="J973" s="81"/>
      <c r="K973" s="318"/>
      <c r="L973" s="81"/>
      <c r="M973" s="298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spans="1:26" ht="13.5" customHeight="1">
      <c r="A974" s="81"/>
      <c r="G974" s="81"/>
      <c r="H974" s="81"/>
      <c r="I974" s="81"/>
      <c r="J974" s="81"/>
      <c r="K974" s="318"/>
      <c r="L974" s="81"/>
      <c r="M974" s="298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spans="1:26" ht="13.5" customHeight="1">
      <c r="A975" s="81"/>
      <c r="G975" s="81"/>
      <c r="H975" s="81"/>
      <c r="I975" s="81"/>
      <c r="J975" s="81"/>
      <c r="K975" s="318"/>
      <c r="L975" s="81"/>
      <c r="M975" s="298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spans="1:26" ht="13.5" customHeight="1">
      <c r="A976" s="81"/>
      <c r="G976" s="81"/>
      <c r="H976" s="81"/>
      <c r="I976" s="81"/>
      <c r="J976" s="81"/>
      <c r="L976" s="81"/>
      <c r="M976" s="298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spans="1:26" ht="13.5" customHeight="1">
      <c r="A977" s="81"/>
      <c r="G977" s="81"/>
      <c r="H977" s="81"/>
      <c r="I977" s="81"/>
      <c r="J977" s="81"/>
      <c r="L977" s="81"/>
      <c r="M977" s="298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spans="1:26" ht="13.5" customHeight="1">
      <c r="A978" s="81"/>
      <c r="G978" s="81"/>
      <c r="H978" s="81"/>
      <c r="I978" s="81"/>
      <c r="J978" s="81"/>
      <c r="L978" s="81"/>
      <c r="M978" s="298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spans="1:26" ht="13.5" customHeight="1">
      <c r="A979" s="81"/>
      <c r="G979" s="81"/>
      <c r="H979" s="81"/>
      <c r="I979" s="81"/>
      <c r="J979" s="81"/>
      <c r="L979" s="81"/>
      <c r="M979" s="298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spans="1:26" ht="13.5" customHeight="1">
      <c r="A980" s="81"/>
      <c r="G980" s="81"/>
      <c r="H980" s="81"/>
      <c r="I980" s="81"/>
      <c r="J980" s="81"/>
      <c r="L980" s="81"/>
      <c r="M980" s="298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spans="1:26" ht="13.5" customHeight="1">
      <c r="A981" s="81"/>
      <c r="G981" s="81"/>
      <c r="H981" s="81"/>
      <c r="I981" s="81"/>
      <c r="J981" s="81"/>
      <c r="L981" s="81"/>
      <c r="M981" s="298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spans="1:26" ht="13.5" customHeight="1">
      <c r="A982" s="81"/>
      <c r="G982" s="81"/>
      <c r="H982" s="81"/>
      <c r="I982" s="81"/>
      <c r="J982" s="81"/>
      <c r="L982" s="81"/>
      <c r="M982" s="298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spans="1:26" ht="13.5" customHeight="1">
      <c r="A983" s="81"/>
      <c r="G983" s="81"/>
      <c r="H983" s="81"/>
      <c r="I983" s="81"/>
      <c r="J983" s="81"/>
      <c r="L983" s="81"/>
      <c r="M983" s="298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spans="1:26" ht="13.5" customHeight="1">
      <c r="A984" s="81"/>
      <c r="G984" s="81"/>
      <c r="H984" s="81"/>
      <c r="I984" s="81"/>
      <c r="J984" s="81"/>
      <c r="L984" s="81"/>
      <c r="M984" s="298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spans="1:26" ht="13.5" customHeight="1">
      <c r="A985" s="81"/>
      <c r="G985" s="81"/>
      <c r="H985" s="81"/>
      <c r="I985" s="81"/>
      <c r="J985" s="81"/>
      <c r="L985" s="81"/>
      <c r="M985" s="298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spans="1:26" ht="13.5" customHeight="1">
      <c r="A986" s="81"/>
      <c r="G986" s="81"/>
      <c r="H986" s="81"/>
      <c r="I986" s="81"/>
      <c r="J986" s="81"/>
      <c r="L986" s="81"/>
      <c r="M986" s="298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spans="1:26" ht="13.5" customHeight="1">
      <c r="A987" s="81"/>
      <c r="G987" s="81"/>
      <c r="H987" s="81"/>
      <c r="I987" s="81"/>
      <c r="J987" s="81"/>
      <c r="L987" s="81"/>
      <c r="M987" s="298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spans="1:26" ht="13.5" customHeight="1">
      <c r="A988" s="81"/>
      <c r="G988" s="81"/>
      <c r="L988" s="81"/>
      <c r="M988" s="298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spans="1:26" ht="13.5" customHeight="1">
      <c r="A989" s="81"/>
      <c r="G989" s="81"/>
      <c r="M989" s="298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spans="1:26" ht="13.5" customHeight="1">
      <c r="A990" s="81"/>
      <c r="G990" s="81"/>
      <c r="M990" s="298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spans="1:26" ht="13.5" customHeight="1">
      <c r="A991" s="81"/>
      <c r="G991" s="81"/>
      <c r="M991" s="298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spans="1:26" ht="13.5" customHeight="1">
      <c r="A992" s="81"/>
      <c r="G992" s="81"/>
      <c r="M992" s="298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spans="1:26" ht="13.5" customHeight="1">
      <c r="A993" s="81"/>
      <c r="G993" s="81"/>
      <c r="M993" s="298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spans="1:26" ht="13.5" customHeight="1">
      <c r="A994" s="81"/>
      <c r="G994" s="81"/>
      <c r="M994" s="298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spans="1:26" ht="13.5" customHeight="1">
      <c r="A995" s="81"/>
      <c r="G995" s="81"/>
      <c r="M995" s="298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spans="1:26" ht="13.5" customHeight="1">
      <c r="A996" s="81"/>
      <c r="G996" s="81"/>
      <c r="M996" s="298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spans="1:26" ht="13.5" customHeight="1">
      <c r="A997" s="81"/>
      <c r="G997" s="81"/>
      <c r="M997" s="298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spans="1:26" ht="13.5" customHeight="1">
      <c r="A998" s="81"/>
      <c r="G998" s="81"/>
      <c r="M998" s="298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spans="1:26" ht="13.5" customHeight="1">
      <c r="A999" s="81"/>
      <c r="G999" s="81"/>
      <c r="M999" s="298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spans="1:26" ht="13.5" customHeight="1">
      <c r="A1000" s="81"/>
      <c r="G1000" s="81"/>
      <c r="M1000" s="298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opLeftCell="A6" workbookViewId="0">
      <selection activeCell="A13" sqref="A13:XFD17"/>
    </sheetView>
  </sheetViews>
  <sheetFormatPr defaultColWidth="12.6640625" defaultRowHeight="15" customHeight="1"/>
  <cols>
    <col min="1" max="1" width="8.6640625" style="7" customWidth="1"/>
    <col min="2" max="2" width="26.4140625" style="7" customWidth="1"/>
    <col min="3" max="3" width="12.6640625" style="7"/>
    <col min="4" max="5" width="11.4140625" style="7" customWidth="1"/>
    <col min="6" max="6" width="11.6640625" style="7" customWidth="1"/>
    <col min="7" max="9" width="11.4140625" style="7" customWidth="1"/>
    <col min="10" max="12" width="10.25" style="7" customWidth="1"/>
    <col min="13" max="13" width="10.4140625" style="7" customWidth="1"/>
    <col min="14" max="26" width="8.6640625" style="7" customWidth="1"/>
    <col min="27" max="16384" width="12.6640625" style="7"/>
  </cols>
  <sheetData>
    <row r="1" spans="1:26" s="404" customFormat="1" ht="13.5" customHeight="1">
      <c r="A1" s="374" t="s">
        <v>109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403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</row>
    <row r="2" spans="1:26" s="404" customFormat="1" ht="13.5" customHeight="1">
      <c r="A2" s="279"/>
      <c r="B2" s="279"/>
      <c r="C2" s="279"/>
      <c r="D2" s="279"/>
      <c r="E2" s="279"/>
      <c r="F2" s="402"/>
      <c r="G2" s="402"/>
      <c r="H2" s="279"/>
      <c r="I2" s="279"/>
      <c r="J2" s="279"/>
      <c r="K2" s="279"/>
      <c r="L2" s="412" t="s">
        <v>1</v>
      </c>
      <c r="M2" s="412"/>
      <c r="O2" s="403"/>
    </row>
    <row r="3" spans="1:26" ht="13.5" customHeight="1">
      <c r="A3" s="281"/>
      <c r="B3" s="118"/>
      <c r="C3" s="282">
        <v>2015</v>
      </c>
      <c r="D3" s="282">
        <v>2016</v>
      </c>
      <c r="E3" s="282">
        <v>2017</v>
      </c>
      <c r="F3" s="282">
        <v>2018</v>
      </c>
      <c r="G3" s="282">
        <v>2019</v>
      </c>
      <c r="H3" s="282">
        <v>2020</v>
      </c>
      <c r="I3" s="282">
        <v>2021</v>
      </c>
      <c r="J3" s="282">
        <v>2022</v>
      </c>
      <c r="K3" s="283">
        <v>2023</v>
      </c>
      <c r="L3" s="283">
        <v>2024</v>
      </c>
      <c r="M3" s="282" t="s">
        <v>97</v>
      </c>
      <c r="O3" s="280"/>
    </row>
    <row r="4" spans="1:26" ht="13.5" customHeight="1">
      <c r="A4" s="284" t="s">
        <v>110</v>
      </c>
      <c r="B4" s="285"/>
      <c r="C4" s="286">
        <v>19525.740000000002</v>
      </c>
      <c r="D4" s="286">
        <v>24443.46</v>
      </c>
      <c r="E4" s="286">
        <v>24842.54</v>
      </c>
      <c r="F4" s="286">
        <v>27453.26</v>
      </c>
      <c r="G4" s="286">
        <v>27866.09</v>
      </c>
      <c r="H4" s="286">
        <v>19309.91</v>
      </c>
      <c r="I4" s="286">
        <v>28627.1</v>
      </c>
      <c r="J4" s="286">
        <v>27354.81</v>
      </c>
      <c r="K4" s="286">
        <v>32094.3</v>
      </c>
      <c r="L4" s="287">
        <v>29074.32</v>
      </c>
      <c r="M4" s="286">
        <v>23545.69674511726</v>
      </c>
    </row>
    <row r="5" spans="1:26" ht="13.5" customHeight="1">
      <c r="A5" s="288" t="s">
        <v>111</v>
      </c>
      <c r="B5" s="289"/>
      <c r="C5" s="286">
        <v>6148.36</v>
      </c>
      <c r="D5" s="286">
        <v>10681.38</v>
      </c>
      <c r="E5" s="286">
        <v>8772.8700000000008</v>
      </c>
      <c r="F5" s="286">
        <v>11623.7</v>
      </c>
      <c r="G5" s="286">
        <v>14674.91</v>
      </c>
      <c r="H5" s="286">
        <v>15957.24</v>
      </c>
      <c r="I5" s="286">
        <v>16978.12</v>
      </c>
      <c r="J5" s="286">
        <v>19078.150000000001</v>
      </c>
      <c r="K5" s="286">
        <v>18918.55</v>
      </c>
      <c r="L5" s="287">
        <v>19531.43</v>
      </c>
      <c r="M5" s="286">
        <v>16958.175500750782</v>
      </c>
    </row>
    <row r="6" spans="1:26" ht="13.5" customHeight="1">
      <c r="A6" s="288" t="s">
        <v>112</v>
      </c>
      <c r="B6" s="289"/>
      <c r="C6" s="286">
        <v>2514.64</v>
      </c>
      <c r="D6" s="286">
        <v>3318.56</v>
      </c>
      <c r="E6" s="286">
        <v>3464.11</v>
      </c>
      <c r="F6" s="286">
        <v>4226.3</v>
      </c>
      <c r="G6" s="286">
        <v>4721.49</v>
      </c>
      <c r="H6" s="286">
        <v>4881.7299999999996</v>
      </c>
      <c r="I6" s="286">
        <v>6222.49</v>
      </c>
      <c r="J6" s="286">
        <v>6629.19</v>
      </c>
      <c r="K6" s="286">
        <v>7548.94</v>
      </c>
      <c r="L6" s="287">
        <v>7944.35</v>
      </c>
      <c r="M6" s="286">
        <v>7728.5271714580731</v>
      </c>
    </row>
    <row r="7" spans="1:26" ht="13.5" customHeight="1">
      <c r="A7" s="288" t="s">
        <v>113</v>
      </c>
      <c r="B7" s="289"/>
      <c r="C7" s="286">
        <v>12230.19</v>
      </c>
      <c r="D7" s="286">
        <v>12440.94</v>
      </c>
      <c r="E7" s="286">
        <v>13052.09</v>
      </c>
      <c r="F7" s="286">
        <v>12804.5</v>
      </c>
      <c r="G7" s="286">
        <v>12251.22</v>
      </c>
      <c r="H7" s="286">
        <v>12221.16</v>
      </c>
      <c r="I7" s="286">
        <v>11759.14</v>
      </c>
      <c r="J7" s="286">
        <v>11757.73</v>
      </c>
      <c r="K7" s="286">
        <v>11654</v>
      </c>
      <c r="L7" s="287">
        <v>11527.73</v>
      </c>
      <c r="M7" s="286">
        <v>9561.3273239999999</v>
      </c>
    </row>
    <row r="8" spans="1:26" ht="13.5" customHeight="1">
      <c r="A8" s="288" t="s">
        <v>114</v>
      </c>
      <c r="B8" s="289"/>
      <c r="C8" s="286">
        <v>14138.8</v>
      </c>
      <c r="D8" s="286">
        <v>15540.89</v>
      </c>
      <c r="E8" s="286">
        <v>16129.29</v>
      </c>
      <c r="F8" s="286">
        <v>17779.79</v>
      </c>
      <c r="G8" s="286">
        <v>28609.96</v>
      </c>
      <c r="H8" s="286">
        <v>26594.09</v>
      </c>
      <c r="I8" s="286">
        <v>29827.68</v>
      </c>
      <c r="J8" s="286">
        <v>35387.269999999997</v>
      </c>
      <c r="K8" s="286">
        <v>34806.089999999997</v>
      </c>
      <c r="L8" s="287">
        <v>28249.63</v>
      </c>
      <c r="M8" s="286">
        <v>27796.802148160001</v>
      </c>
    </row>
    <row r="9" spans="1:26" ht="13.5" customHeight="1">
      <c r="A9" s="288" t="s">
        <v>115</v>
      </c>
      <c r="B9" s="289"/>
      <c r="C9" s="286">
        <v>7222.07</v>
      </c>
      <c r="D9" s="286">
        <v>11312.92</v>
      </c>
      <c r="E9" s="286">
        <v>13701.09</v>
      </c>
      <c r="F9" s="286">
        <v>18786.77</v>
      </c>
      <c r="G9" s="286">
        <v>27478.6</v>
      </c>
      <c r="H9" s="286">
        <v>20162.22</v>
      </c>
      <c r="I9" s="286">
        <v>28900.18</v>
      </c>
      <c r="J9" s="286">
        <v>40891.06</v>
      </c>
      <c r="K9" s="286">
        <v>45188.44</v>
      </c>
      <c r="L9" s="287">
        <v>49391.94</v>
      </c>
      <c r="M9" s="286">
        <v>52749.367576919998</v>
      </c>
    </row>
    <row r="10" spans="1:26" ht="13.5" customHeight="1">
      <c r="A10" s="290" t="s">
        <v>482</v>
      </c>
      <c r="B10" s="289"/>
      <c r="C10" s="286">
        <v>902.15</v>
      </c>
      <c r="D10" s="286">
        <v>2642.24</v>
      </c>
      <c r="E10" s="286">
        <v>2881.04</v>
      </c>
      <c r="F10" s="286">
        <v>904.18</v>
      </c>
      <c r="G10" s="286">
        <v>2533.04</v>
      </c>
      <c r="H10" s="286">
        <v>6384.27</v>
      </c>
      <c r="I10" s="286">
        <v>8769.84</v>
      </c>
      <c r="J10" s="286">
        <v>12371.13</v>
      </c>
      <c r="K10" s="286">
        <v>16810.91</v>
      </c>
      <c r="L10" s="287">
        <v>23800.45</v>
      </c>
      <c r="M10" s="286">
        <v>29902.614527263882</v>
      </c>
    </row>
    <row r="11" spans="1:26" ht="13.5" customHeight="1">
      <c r="A11" s="291"/>
      <c r="B11" s="37" t="s">
        <v>116</v>
      </c>
      <c r="C11" s="292"/>
      <c r="D11" s="292"/>
      <c r="E11" s="292"/>
      <c r="F11" s="292"/>
      <c r="G11" s="292"/>
      <c r="H11" s="292">
        <v>2636.29</v>
      </c>
      <c r="I11" s="292">
        <v>3191.03</v>
      </c>
      <c r="J11" s="292">
        <v>3843.47</v>
      </c>
      <c r="K11" s="292">
        <v>4405.55</v>
      </c>
      <c r="L11" s="293">
        <v>9012.65</v>
      </c>
      <c r="M11" s="292">
        <v>12496.75746794</v>
      </c>
    </row>
    <row r="12" spans="1:26" ht="13.5" customHeight="1">
      <c r="A12" s="294" t="s">
        <v>117</v>
      </c>
      <c r="B12" s="295"/>
      <c r="C12" s="296">
        <v>62681.95</v>
      </c>
      <c r="D12" s="296">
        <v>80380.39</v>
      </c>
      <c r="E12" s="296">
        <v>82843.03</v>
      </c>
      <c r="F12" s="296">
        <v>93578.5</v>
      </c>
      <c r="G12" s="296">
        <v>118135.31</v>
      </c>
      <c r="H12" s="296">
        <v>105510.61</v>
      </c>
      <c r="I12" s="296">
        <v>131084.54</v>
      </c>
      <c r="J12" s="296">
        <v>153469.35</v>
      </c>
      <c r="K12" s="297">
        <v>167021.22</v>
      </c>
      <c r="L12" s="297">
        <v>169519.85</v>
      </c>
      <c r="M12" s="296">
        <f>SUM(M4:M10)</f>
        <v>168242.51099367</v>
      </c>
    </row>
    <row r="13" spans="1:26" s="389" customFormat="1" ht="13.5" customHeight="1">
      <c r="A13" s="414" t="s">
        <v>108</v>
      </c>
      <c r="C13" s="415"/>
      <c r="D13" s="415"/>
      <c r="E13" s="415"/>
      <c r="F13" s="415"/>
      <c r="G13" s="415"/>
      <c r="H13" s="415"/>
      <c r="I13" s="415"/>
      <c r="J13" s="415"/>
      <c r="K13" s="415"/>
      <c r="L13" s="415"/>
    </row>
    <row r="14" spans="1:26" s="390" customFormat="1" ht="13.5" customHeight="1">
      <c r="A14" s="390" t="s">
        <v>118</v>
      </c>
      <c r="B14" s="416"/>
      <c r="C14" s="407"/>
      <c r="D14" s="407"/>
      <c r="E14" s="407"/>
      <c r="F14" s="407"/>
      <c r="G14" s="407"/>
      <c r="H14" s="407"/>
      <c r="I14" s="407"/>
      <c r="J14" s="407"/>
      <c r="K14" s="407"/>
      <c r="L14" s="407"/>
      <c r="M14" s="387"/>
      <c r="N14" s="387"/>
      <c r="O14" s="387"/>
      <c r="P14" s="387"/>
      <c r="Q14" s="387"/>
      <c r="R14" s="387"/>
      <c r="S14" s="387"/>
      <c r="T14" s="387"/>
      <c r="U14" s="387"/>
      <c r="V14" s="387"/>
      <c r="W14" s="387"/>
      <c r="X14" s="387"/>
      <c r="Y14" s="387"/>
      <c r="Z14" s="387"/>
    </row>
    <row r="15" spans="1:26" s="390" customFormat="1" ht="13.5" customHeight="1">
      <c r="A15" s="417" t="s">
        <v>498</v>
      </c>
      <c r="B15" s="417"/>
      <c r="C15" s="376"/>
      <c r="D15" s="376"/>
      <c r="E15" s="387"/>
      <c r="F15" s="387"/>
      <c r="G15" s="387"/>
      <c r="H15" s="387"/>
      <c r="I15" s="387"/>
      <c r="J15" s="387"/>
      <c r="K15" s="387"/>
      <c r="L15" s="418"/>
      <c r="M15" s="387"/>
      <c r="N15" s="387"/>
      <c r="O15" s="387"/>
      <c r="P15" s="387"/>
      <c r="Q15" s="387"/>
      <c r="R15" s="387"/>
      <c r="S15" s="387"/>
      <c r="T15" s="387"/>
      <c r="U15" s="387"/>
      <c r="V15" s="387"/>
      <c r="W15" s="387"/>
      <c r="X15" s="387"/>
      <c r="Y15" s="387"/>
      <c r="Z15" s="387"/>
    </row>
    <row r="16" spans="1:26" s="390" customFormat="1" ht="13.5" customHeight="1">
      <c r="A16" s="417" t="s">
        <v>119</v>
      </c>
      <c r="B16" s="417"/>
      <c r="C16" s="410"/>
      <c r="D16" s="410"/>
      <c r="E16" s="387"/>
      <c r="F16" s="387"/>
      <c r="G16" s="387"/>
      <c r="H16" s="387"/>
      <c r="I16" s="387"/>
      <c r="L16" s="418"/>
    </row>
    <row r="17" spans="1:12" s="390" customFormat="1" ht="13.5" customHeight="1">
      <c r="A17" s="417" t="s">
        <v>120</v>
      </c>
      <c r="B17" s="417"/>
      <c r="C17" s="387"/>
      <c r="D17" s="387"/>
      <c r="L17" s="418"/>
    </row>
    <row r="18" spans="1:12" ht="13.5" customHeight="1">
      <c r="A18" s="299"/>
      <c r="B18" s="299"/>
      <c r="L18" s="280"/>
    </row>
    <row r="19" spans="1:12" ht="13.5" customHeight="1">
      <c r="B19" s="300"/>
      <c r="L19" s="280"/>
    </row>
    <row r="20" spans="1:12" ht="13.5" customHeight="1">
      <c r="A20" s="299"/>
      <c r="B20" s="299"/>
      <c r="L20" s="280"/>
    </row>
    <row r="21" spans="1:12" ht="13.5" customHeight="1">
      <c r="L21" s="280"/>
    </row>
    <row r="22" spans="1:12" ht="13.5" customHeight="1">
      <c r="L22" s="280"/>
    </row>
    <row r="23" spans="1:12" ht="13.5" customHeight="1">
      <c r="L23" s="280"/>
    </row>
    <row r="24" spans="1:12" ht="13.5" customHeight="1">
      <c r="L24" s="280"/>
    </row>
    <row r="25" spans="1:12" ht="13.5" customHeight="1">
      <c r="L25" s="280"/>
    </row>
    <row r="26" spans="1:12" ht="13.5" customHeight="1">
      <c r="L26" s="280"/>
    </row>
    <row r="27" spans="1:12" ht="13.5" customHeight="1">
      <c r="L27" s="280"/>
    </row>
    <row r="28" spans="1:12" ht="13.5" customHeight="1">
      <c r="L28" s="280"/>
    </row>
    <row r="29" spans="1:12" ht="13.5" customHeight="1">
      <c r="L29" s="280"/>
    </row>
    <row r="30" spans="1:12" ht="13.5" customHeight="1">
      <c r="L30" s="280"/>
    </row>
    <row r="31" spans="1:12" ht="13.5" customHeight="1">
      <c r="L31" s="280"/>
    </row>
    <row r="32" spans="1:12" ht="13.5" customHeight="1">
      <c r="L32" s="280"/>
    </row>
    <row r="33" spans="12:12" ht="13.5" customHeight="1">
      <c r="L33" s="280"/>
    </row>
    <row r="34" spans="12:12" ht="13.5" customHeight="1">
      <c r="L34" s="280"/>
    </row>
    <row r="35" spans="12:12" ht="13.5" customHeight="1">
      <c r="L35" s="280"/>
    </row>
    <row r="36" spans="12:12" ht="13.5" customHeight="1">
      <c r="L36" s="280"/>
    </row>
    <row r="37" spans="12:12" ht="13.5" customHeight="1">
      <c r="L37" s="280"/>
    </row>
    <row r="38" spans="12:12" ht="13.5" customHeight="1">
      <c r="L38" s="280"/>
    </row>
    <row r="39" spans="12:12" ht="13.5" customHeight="1">
      <c r="L39" s="280"/>
    </row>
    <row r="40" spans="12:12" ht="13.5" customHeight="1">
      <c r="L40" s="280"/>
    </row>
    <row r="41" spans="12:12" ht="13.5" customHeight="1">
      <c r="L41" s="280"/>
    </row>
    <row r="42" spans="12:12" ht="13.5" customHeight="1">
      <c r="L42" s="280"/>
    </row>
    <row r="43" spans="12:12" ht="13.5" customHeight="1">
      <c r="L43" s="280"/>
    </row>
    <row r="44" spans="12:12" ht="13.5" customHeight="1">
      <c r="L44" s="280"/>
    </row>
    <row r="45" spans="12:12" ht="13.5" customHeight="1">
      <c r="L45" s="280"/>
    </row>
    <row r="46" spans="12:12" ht="13.5" customHeight="1">
      <c r="L46" s="280"/>
    </row>
    <row r="47" spans="12:12" ht="13.5" customHeight="1">
      <c r="L47" s="280"/>
    </row>
    <row r="48" spans="12:12" ht="13.5" customHeight="1">
      <c r="L48" s="280"/>
    </row>
    <row r="49" spans="12:12" ht="13.5" customHeight="1">
      <c r="L49" s="280"/>
    </row>
    <row r="50" spans="12:12" ht="13.5" customHeight="1">
      <c r="L50" s="280"/>
    </row>
    <row r="51" spans="12:12" ht="13.5" customHeight="1">
      <c r="L51" s="280"/>
    </row>
    <row r="52" spans="12:12" ht="13.5" customHeight="1">
      <c r="L52" s="280"/>
    </row>
    <row r="53" spans="12:12" ht="13.5" customHeight="1">
      <c r="L53" s="280"/>
    </row>
    <row r="54" spans="12:12" ht="13.5" customHeight="1">
      <c r="L54" s="280"/>
    </row>
    <row r="55" spans="12:12" ht="13.5" customHeight="1">
      <c r="L55" s="280"/>
    </row>
    <row r="56" spans="12:12" ht="13.5" customHeight="1">
      <c r="L56" s="280"/>
    </row>
    <row r="57" spans="12:12" ht="13.5" customHeight="1">
      <c r="L57" s="280"/>
    </row>
    <row r="58" spans="12:12" ht="13.5" customHeight="1">
      <c r="L58" s="280"/>
    </row>
    <row r="59" spans="12:12" ht="13.5" customHeight="1">
      <c r="L59" s="280"/>
    </row>
    <row r="60" spans="12:12" ht="13.5" customHeight="1">
      <c r="L60" s="280"/>
    </row>
    <row r="61" spans="12:12" ht="13.5" customHeight="1">
      <c r="L61" s="280"/>
    </row>
    <row r="62" spans="12:12" ht="13.5" customHeight="1">
      <c r="L62" s="280"/>
    </row>
    <row r="63" spans="12:12" ht="13.5" customHeight="1">
      <c r="L63" s="280"/>
    </row>
    <row r="64" spans="12:12" ht="13.5" customHeight="1">
      <c r="L64" s="280"/>
    </row>
    <row r="65" spans="12:12" ht="13.5" customHeight="1">
      <c r="L65" s="280"/>
    </row>
    <row r="66" spans="12:12" ht="13.5" customHeight="1">
      <c r="L66" s="280"/>
    </row>
    <row r="67" spans="12:12" ht="13.5" customHeight="1">
      <c r="L67" s="280"/>
    </row>
    <row r="68" spans="12:12" ht="13.5" customHeight="1">
      <c r="L68" s="280"/>
    </row>
    <row r="69" spans="12:12" ht="13.5" customHeight="1">
      <c r="L69" s="280"/>
    </row>
    <row r="70" spans="12:12" ht="13.5" customHeight="1">
      <c r="L70" s="280"/>
    </row>
    <row r="71" spans="12:12" ht="13.5" customHeight="1">
      <c r="L71" s="280"/>
    </row>
    <row r="72" spans="12:12" ht="13.5" customHeight="1">
      <c r="L72" s="280"/>
    </row>
    <row r="73" spans="12:12" ht="13.5" customHeight="1">
      <c r="L73" s="280"/>
    </row>
    <row r="74" spans="12:12" ht="13.5" customHeight="1">
      <c r="L74" s="280"/>
    </row>
    <row r="75" spans="12:12" ht="13.5" customHeight="1">
      <c r="L75" s="280"/>
    </row>
    <row r="76" spans="12:12" ht="13.5" customHeight="1">
      <c r="L76" s="280"/>
    </row>
    <row r="77" spans="12:12" ht="13.5" customHeight="1">
      <c r="L77" s="280"/>
    </row>
    <row r="78" spans="12:12" ht="13.5" customHeight="1">
      <c r="L78" s="280"/>
    </row>
    <row r="79" spans="12:12" ht="13.5" customHeight="1">
      <c r="L79" s="280"/>
    </row>
    <row r="80" spans="12:12" ht="13.5" customHeight="1">
      <c r="L80" s="280"/>
    </row>
    <row r="81" spans="12:12" ht="13.5" customHeight="1">
      <c r="L81" s="280"/>
    </row>
    <row r="82" spans="12:12" ht="13.5" customHeight="1">
      <c r="L82" s="280"/>
    </row>
    <row r="83" spans="12:12" ht="13.5" customHeight="1">
      <c r="L83" s="280"/>
    </row>
    <row r="84" spans="12:12" ht="13.5" customHeight="1">
      <c r="L84" s="280"/>
    </row>
    <row r="85" spans="12:12" ht="13.5" customHeight="1">
      <c r="L85" s="280"/>
    </row>
    <row r="86" spans="12:12" ht="13.5" customHeight="1">
      <c r="L86" s="280"/>
    </row>
    <row r="87" spans="12:12" ht="13.5" customHeight="1">
      <c r="L87" s="280"/>
    </row>
    <row r="88" spans="12:12" ht="13.5" customHeight="1">
      <c r="L88" s="280"/>
    </row>
    <row r="89" spans="12:12" ht="13.5" customHeight="1">
      <c r="L89" s="280"/>
    </row>
    <row r="90" spans="12:12" ht="13.5" customHeight="1">
      <c r="L90" s="280"/>
    </row>
    <row r="91" spans="12:12" ht="13.5" customHeight="1">
      <c r="L91" s="280"/>
    </row>
    <row r="92" spans="12:12" ht="13.5" customHeight="1">
      <c r="L92" s="280"/>
    </row>
    <row r="93" spans="12:12" ht="13.5" customHeight="1">
      <c r="L93" s="280"/>
    </row>
    <row r="94" spans="12:12" ht="13.5" customHeight="1">
      <c r="L94" s="280"/>
    </row>
    <row r="95" spans="12:12" ht="13.5" customHeight="1">
      <c r="L95" s="280"/>
    </row>
    <row r="96" spans="12:12" ht="13.5" customHeight="1">
      <c r="L96" s="280"/>
    </row>
    <row r="97" spans="12:12" ht="13.5" customHeight="1">
      <c r="L97" s="280"/>
    </row>
    <row r="98" spans="12:12" ht="13.5" customHeight="1">
      <c r="L98" s="280"/>
    </row>
    <row r="99" spans="12:12" ht="13.5" customHeight="1">
      <c r="L99" s="280"/>
    </row>
    <row r="100" spans="12:12" ht="13.5" customHeight="1">
      <c r="L100" s="280"/>
    </row>
    <row r="101" spans="12:12" ht="13.5" customHeight="1">
      <c r="L101" s="280"/>
    </row>
    <row r="102" spans="12:12" ht="13.5" customHeight="1">
      <c r="L102" s="280"/>
    </row>
    <row r="103" spans="12:12" ht="13.5" customHeight="1">
      <c r="L103" s="280"/>
    </row>
    <row r="104" spans="12:12" ht="13.5" customHeight="1">
      <c r="L104" s="280"/>
    </row>
    <row r="105" spans="12:12" ht="13.5" customHeight="1">
      <c r="L105" s="280"/>
    </row>
    <row r="106" spans="12:12" ht="13.5" customHeight="1">
      <c r="L106" s="280"/>
    </row>
    <row r="107" spans="12:12" ht="13.5" customHeight="1">
      <c r="L107" s="280"/>
    </row>
    <row r="108" spans="12:12" ht="13.5" customHeight="1">
      <c r="L108" s="280"/>
    </row>
    <row r="109" spans="12:12" ht="13.5" customHeight="1">
      <c r="L109" s="280"/>
    </row>
    <row r="110" spans="12:12" ht="13.5" customHeight="1">
      <c r="L110" s="280"/>
    </row>
    <row r="111" spans="12:12" ht="13.5" customHeight="1">
      <c r="L111" s="280"/>
    </row>
    <row r="112" spans="12:12" ht="13.5" customHeight="1">
      <c r="L112" s="280"/>
    </row>
    <row r="113" spans="12:12" ht="13.5" customHeight="1">
      <c r="L113" s="280"/>
    </row>
    <row r="114" spans="12:12" ht="13.5" customHeight="1">
      <c r="L114" s="280"/>
    </row>
    <row r="115" spans="12:12" ht="13.5" customHeight="1">
      <c r="L115" s="280"/>
    </row>
    <row r="116" spans="12:12" ht="13.5" customHeight="1">
      <c r="L116" s="280"/>
    </row>
    <row r="117" spans="12:12" ht="13.5" customHeight="1">
      <c r="L117" s="280"/>
    </row>
    <row r="118" spans="12:12" ht="13.5" customHeight="1">
      <c r="L118" s="280"/>
    </row>
    <row r="119" spans="12:12" ht="13.5" customHeight="1">
      <c r="L119" s="280"/>
    </row>
    <row r="120" spans="12:12" ht="13.5" customHeight="1">
      <c r="L120" s="280"/>
    </row>
    <row r="121" spans="12:12" ht="13.5" customHeight="1">
      <c r="L121" s="280"/>
    </row>
    <row r="122" spans="12:12" ht="13.5" customHeight="1">
      <c r="L122" s="280"/>
    </row>
    <row r="123" spans="12:12" ht="13.5" customHeight="1">
      <c r="L123" s="280"/>
    </row>
    <row r="124" spans="12:12" ht="13.5" customHeight="1">
      <c r="L124" s="280"/>
    </row>
    <row r="125" spans="12:12" ht="13.5" customHeight="1">
      <c r="L125" s="280"/>
    </row>
    <row r="126" spans="12:12" ht="13.5" customHeight="1">
      <c r="L126" s="280"/>
    </row>
    <row r="127" spans="12:12" ht="13.5" customHeight="1">
      <c r="L127" s="280"/>
    </row>
    <row r="128" spans="12:12" ht="13.5" customHeight="1">
      <c r="L128" s="280"/>
    </row>
    <row r="129" spans="12:12" ht="13.5" customHeight="1">
      <c r="L129" s="280"/>
    </row>
    <row r="130" spans="12:12" ht="13.5" customHeight="1">
      <c r="L130" s="280"/>
    </row>
    <row r="131" spans="12:12" ht="13.5" customHeight="1">
      <c r="L131" s="280"/>
    </row>
    <row r="132" spans="12:12" ht="13.5" customHeight="1">
      <c r="L132" s="280"/>
    </row>
    <row r="133" spans="12:12" ht="13.5" customHeight="1">
      <c r="L133" s="280"/>
    </row>
    <row r="134" spans="12:12" ht="13.5" customHeight="1">
      <c r="L134" s="280"/>
    </row>
    <row r="135" spans="12:12" ht="13.5" customHeight="1">
      <c r="L135" s="280"/>
    </row>
    <row r="136" spans="12:12" ht="13.5" customHeight="1">
      <c r="L136" s="280"/>
    </row>
    <row r="137" spans="12:12" ht="13.5" customHeight="1">
      <c r="L137" s="280"/>
    </row>
    <row r="138" spans="12:12" ht="13.5" customHeight="1">
      <c r="L138" s="280"/>
    </row>
    <row r="139" spans="12:12" ht="13.5" customHeight="1">
      <c r="L139" s="280"/>
    </row>
    <row r="140" spans="12:12" ht="13.5" customHeight="1">
      <c r="L140" s="280"/>
    </row>
    <row r="141" spans="12:12" ht="13.5" customHeight="1">
      <c r="L141" s="280"/>
    </row>
    <row r="142" spans="12:12" ht="13.5" customHeight="1">
      <c r="L142" s="280"/>
    </row>
    <row r="143" spans="12:12" ht="13.5" customHeight="1">
      <c r="L143" s="280"/>
    </row>
    <row r="144" spans="12:12" ht="13.5" customHeight="1">
      <c r="L144" s="280"/>
    </row>
    <row r="145" spans="12:12" ht="13.5" customHeight="1">
      <c r="L145" s="280"/>
    </row>
    <row r="146" spans="12:12" ht="13.5" customHeight="1">
      <c r="L146" s="280"/>
    </row>
    <row r="147" spans="12:12" ht="13.5" customHeight="1">
      <c r="L147" s="280"/>
    </row>
    <row r="148" spans="12:12" ht="13.5" customHeight="1">
      <c r="L148" s="280"/>
    </row>
    <row r="149" spans="12:12" ht="13.5" customHeight="1">
      <c r="L149" s="280"/>
    </row>
    <row r="150" spans="12:12" ht="13.5" customHeight="1">
      <c r="L150" s="280"/>
    </row>
    <row r="151" spans="12:12" ht="13.5" customHeight="1">
      <c r="L151" s="280"/>
    </row>
    <row r="152" spans="12:12" ht="13.5" customHeight="1">
      <c r="L152" s="280"/>
    </row>
    <row r="153" spans="12:12" ht="13.5" customHeight="1">
      <c r="L153" s="280"/>
    </row>
    <row r="154" spans="12:12" ht="13.5" customHeight="1">
      <c r="L154" s="280"/>
    </row>
    <row r="155" spans="12:12" ht="13.5" customHeight="1">
      <c r="L155" s="280"/>
    </row>
    <row r="156" spans="12:12" ht="13.5" customHeight="1">
      <c r="L156" s="280"/>
    </row>
    <row r="157" spans="12:12" ht="13.5" customHeight="1">
      <c r="L157" s="280"/>
    </row>
    <row r="158" spans="12:12" ht="13.5" customHeight="1">
      <c r="L158" s="280"/>
    </row>
    <row r="159" spans="12:12" ht="13.5" customHeight="1">
      <c r="L159" s="280"/>
    </row>
    <row r="160" spans="12:12" ht="13.5" customHeight="1">
      <c r="L160" s="280"/>
    </row>
    <row r="161" spans="12:12" ht="13.5" customHeight="1">
      <c r="L161" s="280"/>
    </row>
    <row r="162" spans="12:12" ht="13.5" customHeight="1">
      <c r="L162" s="280"/>
    </row>
    <row r="163" spans="12:12" ht="13.5" customHeight="1">
      <c r="L163" s="280"/>
    </row>
    <row r="164" spans="12:12" ht="13.5" customHeight="1">
      <c r="L164" s="280"/>
    </row>
    <row r="165" spans="12:12" ht="13.5" customHeight="1">
      <c r="L165" s="280"/>
    </row>
    <row r="166" spans="12:12" ht="13.5" customHeight="1">
      <c r="L166" s="280"/>
    </row>
    <row r="167" spans="12:12" ht="13.5" customHeight="1">
      <c r="L167" s="280"/>
    </row>
    <row r="168" spans="12:12" ht="13.5" customHeight="1">
      <c r="L168" s="280"/>
    </row>
    <row r="169" spans="12:12" ht="13.5" customHeight="1">
      <c r="L169" s="280"/>
    </row>
    <row r="170" spans="12:12" ht="13.5" customHeight="1">
      <c r="L170" s="280"/>
    </row>
    <row r="171" spans="12:12" ht="13.5" customHeight="1">
      <c r="L171" s="280"/>
    </row>
    <row r="172" spans="12:12" ht="13.5" customHeight="1">
      <c r="L172" s="280"/>
    </row>
    <row r="173" spans="12:12" ht="13.5" customHeight="1">
      <c r="L173" s="280"/>
    </row>
    <row r="174" spans="12:12" ht="13.5" customHeight="1">
      <c r="L174" s="280"/>
    </row>
    <row r="175" spans="12:12" ht="13.5" customHeight="1">
      <c r="L175" s="280"/>
    </row>
    <row r="176" spans="12:12" ht="13.5" customHeight="1">
      <c r="L176" s="280"/>
    </row>
    <row r="177" spans="12:12" ht="13.5" customHeight="1">
      <c r="L177" s="280"/>
    </row>
    <row r="178" spans="12:12" ht="13.5" customHeight="1">
      <c r="L178" s="280"/>
    </row>
    <row r="179" spans="12:12" ht="13.5" customHeight="1">
      <c r="L179" s="280"/>
    </row>
    <row r="180" spans="12:12" ht="13.5" customHeight="1">
      <c r="L180" s="280"/>
    </row>
    <row r="181" spans="12:12" ht="13.5" customHeight="1">
      <c r="L181" s="280"/>
    </row>
    <row r="182" spans="12:12" ht="13.5" customHeight="1">
      <c r="L182" s="280"/>
    </row>
    <row r="183" spans="12:12" ht="13.5" customHeight="1">
      <c r="L183" s="280"/>
    </row>
    <row r="184" spans="12:12" ht="13.5" customHeight="1">
      <c r="L184" s="280"/>
    </row>
    <row r="185" spans="12:12" ht="13.5" customHeight="1">
      <c r="L185" s="280"/>
    </row>
    <row r="186" spans="12:12" ht="13.5" customHeight="1">
      <c r="L186" s="280"/>
    </row>
    <row r="187" spans="12:12" ht="13.5" customHeight="1">
      <c r="L187" s="280"/>
    </row>
    <row r="188" spans="12:12" ht="13.5" customHeight="1">
      <c r="L188" s="280"/>
    </row>
    <row r="189" spans="12:12" ht="13.5" customHeight="1">
      <c r="L189" s="280"/>
    </row>
    <row r="190" spans="12:12" ht="13.5" customHeight="1">
      <c r="L190" s="280"/>
    </row>
    <row r="191" spans="12:12" ht="13.5" customHeight="1">
      <c r="L191" s="280"/>
    </row>
    <row r="192" spans="12:12" ht="13.5" customHeight="1">
      <c r="L192" s="280"/>
    </row>
    <row r="193" spans="12:12" ht="13.5" customHeight="1">
      <c r="L193" s="280"/>
    </row>
    <row r="194" spans="12:12" ht="13.5" customHeight="1">
      <c r="L194" s="280"/>
    </row>
    <row r="195" spans="12:12" ht="13.5" customHeight="1">
      <c r="L195" s="280"/>
    </row>
    <row r="196" spans="12:12" ht="13.5" customHeight="1">
      <c r="L196" s="280"/>
    </row>
    <row r="197" spans="12:12" ht="13.5" customHeight="1">
      <c r="L197" s="280"/>
    </row>
    <row r="198" spans="12:12" ht="13.5" customHeight="1">
      <c r="L198" s="280"/>
    </row>
    <row r="199" spans="12:12" ht="13.5" customHeight="1">
      <c r="L199" s="280"/>
    </row>
    <row r="200" spans="12:12" ht="13.5" customHeight="1">
      <c r="L200" s="280"/>
    </row>
    <row r="201" spans="12:12" ht="13.5" customHeight="1">
      <c r="L201" s="280"/>
    </row>
    <row r="202" spans="12:12" ht="13.5" customHeight="1">
      <c r="L202" s="280"/>
    </row>
    <row r="203" spans="12:12" ht="13.5" customHeight="1">
      <c r="L203" s="280"/>
    </row>
    <row r="204" spans="12:12" ht="13.5" customHeight="1">
      <c r="L204" s="280"/>
    </row>
    <row r="205" spans="12:12" ht="13.5" customHeight="1">
      <c r="L205" s="280"/>
    </row>
    <row r="206" spans="12:12" ht="13.5" customHeight="1">
      <c r="L206" s="280"/>
    </row>
    <row r="207" spans="12:12" ht="13.5" customHeight="1">
      <c r="L207" s="280"/>
    </row>
    <row r="208" spans="12:12" ht="13.5" customHeight="1">
      <c r="L208" s="280"/>
    </row>
    <row r="209" spans="12:12" ht="13.5" customHeight="1">
      <c r="L209" s="280"/>
    </row>
    <row r="210" spans="12:12" ht="13.5" customHeight="1">
      <c r="L210" s="280"/>
    </row>
    <row r="211" spans="12:12" ht="13.5" customHeight="1">
      <c r="L211" s="280"/>
    </row>
    <row r="212" spans="12:12" ht="13.5" customHeight="1">
      <c r="L212" s="280"/>
    </row>
    <row r="213" spans="12:12" ht="13.5" customHeight="1">
      <c r="L213" s="280"/>
    </row>
    <row r="214" spans="12:12" ht="13.5" customHeight="1">
      <c r="L214" s="280"/>
    </row>
    <row r="215" spans="12:12" ht="13.5" customHeight="1">
      <c r="L215" s="280"/>
    </row>
    <row r="216" spans="12:12" ht="13.5" customHeight="1">
      <c r="L216" s="280"/>
    </row>
    <row r="217" spans="12:12" ht="13.5" customHeight="1">
      <c r="L217" s="280"/>
    </row>
    <row r="218" spans="12:12" ht="13.5" customHeight="1">
      <c r="L218" s="280"/>
    </row>
    <row r="219" spans="12:12" ht="13.5" customHeight="1">
      <c r="L219" s="280"/>
    </row>
    <row r="220" spans="12:12" ht="13.5" customHeight="1">
      <c r="L220" s="280"/>
    </row>
    <row r="221" spans="12:12" ht="13.5" customHeight="1">
      <c r="L221" s="280"/>
    </row>
    <row r="222" spans="12:12" ht="13.5" customHeight="1">
      <c r="L222" s="280"/>
    </row>
    <row r="223" spans="12:12" ht="13.5" customHeight="1">
      <c r="L223" s="280"/>
    </row>
    <row r="224" spans="12:12" ht="13.5" customHeight="1">
      <c r="L224" s="280"/>
    </row>
    <row r="225" spans="12:12" ht="13.5" customHeight="1">
      <c r="L225" s="280"/>
    </row>
    <row r="226" spans="12:12" ht="13.5" customHeight="1">
      <c r="L226" s="280"/>
    </row>
    <row r="227" spans="12:12" ht="13.5" customHeight="1">
      <c r="L227" s="280"/>
    </row>
    <row r="228" spans="12:12" ht="13.5" customHeight="1">
      <c r="L228" s="280"/>
    </row>
    <row r="229" spans="12:12" ht="13.5" customHeight="1">
      <c r="L229" s="280"/>
    </row>
    <row r="230" spans="12:12" ht="13.5" customHeight="1">
      <c r="L230" s="280"/>
    </row>
    <row r="231" spans="12:12" ht="13.5" customHeight="1">
      <c r="L231" s="280"/>
    </row>
    <row r="232" spans="12:12" ht="13.5" customHeight="1">
      <c r="L232" s="280"/>
    </row>
    <row r="233" spans="12:12" ht="13.5" customHeight="1">
      <c r="L233" s="280"/>
    </row>
    <row r="234" spans="12:12" ht="13.5" customHeight="1">
      <c r="L234" s="280"/>
    </row>
    <row r="235" spans="12:12" ht="13.5" customHeight="1">
      <c r="L235" s="280"/>
    </row>
    <row r="236" spans="12:12" ht="13.5" customHeight="1">
      <c r="L236" s="280"/>
    </row>
    <row r="237" spans="12:12" ht="13.5" customHeight="1">
      <c r="L237" s="280"/>
    </row>
    <row r="238" spans="12:12" ht="13.5" customHeight="1">
      <c r="L238" s="280"/>
    </row>
    <row r="239" spans="12:12" ht="13.5" customHeight="1">
      <c r="L239" s="280"/>
    </row>
    <row r="240" spans="12:12" ht="13.5" customHeight="1">
      <c r="L240" s="280"/>
    </row>
    <row r="241" spans="12:12" ht="13.5" customHeight="1">
      <c r="L241" s="280"/>
    </row>
    <row r="242" spans="12:12" ht="13.5" customHeight="1">
      <c r="L242" s="280"/>
    </row>
    <row r="243" spans="12:12" ht="13.5" customHeight="1">
      <c r="L243" s="280"/>
    </row>
    <row r="244" spans="12:12" ht="13.5" customHeight="1">
      <c r="L244" s="280"/>
    </row>
    <row r="245" spans="12:12" ht="13.5" customHeight="1">
      <c r="L245" s="280"/>
    </row>
    <row r="246" spans="12:12" ht="13.5" customHeight="1">
      <c r="L246" s="280"/>
    </row>
    <row r="247" spans="12:12" ht="13.5" customHeight="1">
      <c r="L247" s="280"/>
    </row>
    <row r="248" spans="12:12" ht="13.5" customHeight="1">
      <c r="L248" s="280"/>
    </row>
    <row r="249" spans="12:12" ht="13.5" customHeight="1">
      <c r="L249" s="280"/>
    </row>
    <row r="250" spans="12:12" ht="13.5" customHeight="1">
      <c r="L250" s="280"/>
    </row>
    <row r="251" spans="12:12" ht="13.5" customHeight="1">
      <c r="L251" s="280"/>
    </row>
    <row r="252" spans="12:12" ht="13.5" customHeight="1">
      <c r="L252" s="280"/>
    </row>
    <row r="253" spans="12:12" ht="13.5" customHeight="1">
      <c r="L253" s="280"/>
    </row>
    <row r="254" spans="12:12" ht="13.5" customHeight="1">
      <c r="L254" s="280"/>
    </row>
    <row r="255" spans="12:12" ht="13.5" customHeight="1">
      <c r="L255" s="280"/>
    </row>
    <row r="256" spans="12:12" ht="13.5" customHeight="1">
      <c r="L256" s="280"/>
    </row>
    <row r="257" spans="12:12" ht="13.5" customHeight="1">
      <c r="L257" s="280"/>
    </row>
    <row r="258" spans="12:12" ht="13.5" customHeight="1">
      <c r="L258" s="280"/>
    </row>
    <row r="259" spans="12:12" ht="13.5" customHeight="1">
      <c r="L259" s="280"/>
    </row>
    <row r="260" spans="12:12" ht="13.5" customHeight="1">
      <c r="L260" s="280"/>
    </row>
    <row r="261" spans="12:12" ht="13.5" customHeight="1">
      <c r="L261" s="280"/>
    </row>
    <row r="262" spans="12:12" ht="13.5" customHeight="1">
      <c r="L262" s="280"/>
    </row>
    <row r="263" spans="12:12" ht="13.5" customHeight="1">
      <c r="L263" s="280"/>
    </row>
    <row r="264" spans="12:12" ht="13.5" customHeight="1">
      <c r="L264" s="280"/>
    </row>
    <row r="265" spans="12:12" ht="13.5" customHeight="1">
      <c r="L265" s="280"/>
    </row>
    <row r="266" spans="12:12" ht="13.5" customHeight="1">
      <c r="L266" s="280"/>
    </row>
    <row r="267" spans="12:12" ht="13.5" customHeight="1">
      <c r="L267" s="280"/>
    </row>
    <row r="268" spans="12:12" ht="13.5" customHeight="1">
      <c r="L268" s="280"/>
    </row>
    <row r="269" spans="12:12" ht="13.5" customHeight="1">
      <c r="L269" s="280"/>
    </row>
    <row r="270" spans="12:12" ht="13.5" customHeight="1">
      <c r="L270" s="280"/>
    </row>
    <row r="271" spans="12:12" ht="13.5" customHeight="1">
      <c r="L271" s="280"/>
    </row>
    <row r="272" spans="12:12" ht="13.5" customHeight="1">
      <c r="L272" s="280"/>
    </row>
    <row r="273" spans="12:12" ht="13.5" customHeight="1">
      <c r="L273" s="280"/>
    </row>
    <row r="274" spans="12:12" ht="13.5" customHeight="1">
      <c r="L274" s="280"/>
    </row>
    <row r="275" spans="12:12" ht="13.5" customHeight="1">
      <c r="L275" s="280"/>
    </row>
    <row r="276" spans="12:12" ht="13.5" customHeight="1">
      <c r="L276" s="280"/>
    </row>
    <row r="277" spans="12:12" ht="13.5" customHeight="1">
      <c r="L277" s="280"/>
    </row>
    <row r="278" spans="12:12" ht="13.5" customHeight="1">
      <c r="L278" s="280"/>
    </row>
    <row r="279" spans="12:12" ht="13.5" customHeight="1">
      <c r="L279" s="280"/>
    </row>
    <row r="280" spans="12:12" ht="13.5" customHeight="1">
      <c r="L280" s="280"/>
    </row>
    <row r="281" spans="12:12" ht="13.5" customHeight="1">
      <c r="L281" s="280"/>
    </row>
    <row r="282" spans="12:12" ht="13.5" customHeight="1">
      <c r="L282" s="280"/>
    </row>
    <row r="283" spans="12:12" ht="13.5" customHeight="1">
      <c r="L283" s="280"/>
    </row>
    <row r="284" spans="12:12" ht="13.5" customHeight="1">
      <c r="L284" s="280"/>
    </row>
    <row r="285" spans="12:12" ht="13.5" customHeight="1">
      <c r="L285" s="280"/>
    </row>
    <row r="286" spans="12:12" ht="13.5" customHeight="1">
      <c r="L286" s="280"/>
    </row>
    <row r="287" spans="12:12" ht="13.5" customHeight="1">
      <c r="L287" s="280"/>
    </row>
    <row r="288" spans="12:12" ht="13.5" customHeight="1">
      <c r="L288" s="280"/>
    </row>
    <row r="289" spans="12:12" ht="13.5" customHeight="1">
      <c r="L289" s="280"/>
    </row>
    <row r="290" spans="12:12" ht="13.5" customHeight="1">
      <c r="L290" s="280"/>
    </row>
    <row r="291" spans="12:12" ht="13.5" customHeight="1">
      <c r="L291" s="280"/>
    </row>
    <row r="292" spans="12:12" ht="13.5" customHeight="1">
      <c r="L292" s="280"/>
    </row>
    <row r="293" spans="12:12" ht="13.5" customHeight="1">
      <c r="L293" s="280"/>
    </row>
    <row r="294" spans="12:12" ht="13.5" customHeight="1">
      <c r="L294" s="280"/>
    </row>
    <row r="295" spans="12:12" ht="13.5" customHeight="1">
      <c r="L295" s="280"/>
    </row>
    <row r="296" spans="12:12" ht="13.5" customHeight="1">
      <c r="L296" s="280"/>
    </row>
    <row r="297" spans="12:12" ht="13.5" customHeight="1">
      <c r="L297" s="280"/>
    </row>
    <row r="298" spans="12:12" ht="13.5" customHeight="1">
      <c r="L298" s="280"/>
    </row>
    <row r="299" spans="12:12" ht="13.5" customHeight="1">
      <c r="L299" s="280"/>
    </row>
    <row r="300" spans="12:12" ht="13.5" customHeight="1">
      <c r="L300" s="280"/>
    </row>
    <row r="301" spans="12:12" ht="13.5" customHeight="1">
      <c r="L301" s="280"/>
    </row>
    <row r="302" spans="12:12" ht="13.5" customHeight="1">
      <c r="L302" s="280"/>
    </row>
    <row r="303" spans="12:12" ht="13.5" customHeight="1">
      <c r="L303" s="280"/>
    </row>
    <row r="304" spans="12:12" ht="13.5" customHeight="1">
      <c r="L304" s="280"/>
    </row>
    <row r="305" spans="12:12" ht="13.5" customHeight="1">
      <c r="L305" s="280"/>
    </row>
    <row r="306" spans="12:12" ht="13.5" customHeight="1">
      <c r="L306" s="280"/>
    </row>
    <row r="307" spans="12:12" ht="13.5" customHeight="1">
      <c r="L307" s="280"/>
    </row>
    <row r="308" spans="12:12" ht="13.5" customHeight="1">
      <c r="L308" s="280"/>
    </row>
    <row r="309" spans="12:12" ht="13.5" customHeight="1">
      <c r="L309" s="280"/>
    </row>
    <row r="310" spans="12:12" ht="13.5" customHeight="1">
      <c r="L310" s="280"/>
    </row>
    <row r="311" spans="12:12" ht="13.5" customHeight="1">
      <c r="L311" s="280"/>
    </row>
    <row r="312" spans="12:12" ht="13.5" customHeight="1">
      <c r="L312" s="280"/>
    </row>
    <row r="313" spans="12:12" ht="13.5" customHeight="1">
      <c r="L313" s="280"/>
    </row>
    <row r="314" spans="12:12" ht="13.5" customHeight="1">
      <c r="L314" s="280"/>
    </row>
    <row r="315" spans="12:12" ht="13.5" customHeight="1">
      <c r="L315" s="280"/>
    </row>
    <row r="316" spans="12:12" ht="13.5" customHeight="1">
      <c r="L316" s="280"/>
    </row>
    <row r="317" spans="12:12" ht="13.5" customHeight="1">
      <c r="L317" s="280"/>
    </row>
    <row r="318" spans="12:12" ht="13.5" customHeight="1">
      <c r="L318" s="280"/>
    </row>
    <row r="319" spans="12:12" ht="13.5" customHeight="1">
      <c r="L319" s="280"/>
    </row>
    <row r="320" spans="12:12" ht="13.5" customHeight="1">
      <c r="L320" s="280"/>
    </row>
    <row r="321" spans="12:12" ht="13.5" customHeight="1">
      <c r="L321" s="280"/>
    </row>
    <row r="322" spans="12:12" ht="13.5" customHeight="1">
      <c r="L322" s="280"/>
    </row>
    <row r="323" spans="12:12" ht="13.5" customHeight="1">
      <c r="L323" s="280"/>
    </row>
    <row r="324" spans="12:12" ht="13.5" customHeight="1">
      <c r="L324" s="280"/>
    </row>
    <row r="325" spans="12:12" ht="13.5" customHeight="1">
      <c r="L325" s="280"/>
    </row>
    <row r="326" spans="12:12" ht="13.5" customHeight="1">
      <c r="L326" s="280"/>
    </row>
    <row r="327" spans="12:12" ht="13.5" customHeight="1">
      <c r="L327" s="280"/>
    </row>
    <row r="328" spans="12:12" ht="13.5" customHeight="1">
      <c r="L328" s="280"/>
    </row>
    <row r="329" spans="12:12" ht="13.5" customHeight="1">
      <c r="L329" s="280"/>
    </row>
    <row r="330" spans="12:12" ht="13.5" customHeight="1">
      <c r="L330" s="280"/>
    </row>
    <row r="331" spans="12:12" ht="13.5" customHeight="1">
      <c r="L331" s="280"/>
    </row>
    <row r="332" spans="12:12" ht="13.5" customHeight="1">
      <c r="L332" s="280"/>
    </row>
    <row r="333" spans="12:12" ht="13.5" customHeight="1">
      <c r="L333" s="280"/>
    </row>
    <row r="334" spans="12:12" ht="13.5" customHeight="1">
      <c r="L334" s="280"/>
    </row>
    <row r="335" spans="12:12" ht="13.5" customHeight="1">
      <c r="L335" s="280"/>
    </row>
    <row r="336" spans="12:12" ht="13.5" customHeight="1">
      <c r="L336" s="280"/>
    </row>
    <row r="337" spans="12:12" ht="13.5" customHeight="1">
      <c r="L337" s="280"/>
    </row>
    <row r="338" spans="12:12" ht="13.5" customHeight="1">
      <c r="L338" s="280"/>
    </row>
    <row r="339" spans="12:12" ht="13.5" customHeight="1">
      <c r="L339" s="280"/>
    </row>
    <row r="340" spans="12:12" ht="13.5" customHeight="1">
      <c r="L340" s="280"/>
    </row>
    <row r="341" spans="12:12" ht="13.5" customHeight="1">
      <c r="L341" s="280"/>
    </row>
    <row r="342" spans="12:12" ht="13.5" customHeight="1">
      <c r="L342" s="280"/>
    </row>
    <row r="343" spans="12:12" ht="13.5" customHeight="1">
      <c r="L343" s="280"/>
    </row>
    <row r="344" spans="12:12" ht="13.5" customHeight="1">
      <c r="L344" s="280"/>
    </row>
    <row r="345" spans="12:12" ht="13.5" customHeight="1">
      <c r="L345" s="280"/>
    </row>
    <row r="346" spans="12:12" ht="13.5" customHeight="1">
      <c r="L346" s="280"/>
    </row>
    <row r="347" spans="12:12" ht="13.5" customHeight="1">
      <c r="L347" s="280"/>
    </row>
    <row r="348" spans="12:12" ht="13.5" customHeight="1">
      <c r="L348" s="280"/>
    </row>
    <row r="349" spans="12:12" ht="13.5" customHeight="1">
      <c r="L349" s="280"/>
    </row>
    <row r="350" spans="12:12" ht="13.5" customHeight="1">
      <c r="L350" s="280"/>
    </row>
    <row r="351" spans="12:12" ht="13.5" customHeight="1">
      <c r="L351" s="280"/>
    </row>
    <row r="352" spans="12:12" ht="13.5" customHeight="1">
      <c r="L352" s="280"/>
    </row>
    <row r="353" spans="12:12" ht="13.5" customHeight="1">
      <c r="L353" s="280"/>
    </row>
    <row r="354" spans="12:12" ht="13.5" customHeight="1">
      <c r="L354" s="280"/>
    </row>
    <row r="355" spans="12:12" ht="13.5" customHeight="1">
      <c r="L355" s="280"/>
    </row>
    <row r="356" spans="12:12" ht="13.5" customHeight="1">
      <c r="L356" s="280"/>
    </row>
    <row r="357" spans="12:12" ht="13.5" customHeight="1">
      <c r="L357" s="280"/>
    </row>
    <row r="358" spans="12:12" ht="13.5" customHeight="1">
      <c r="L358" s="280"/>
    </row>
    <row r="359" spans="12:12" ht="13.5" customHeight="1">
      <c r="L359" s="280"/>
    </row>
    <row r="360" spans="12:12" ht="13.5" customHeight="1">
      <c r="L360" s="280"/>
    </row>
    <row r="361" spans="12:12" ht="13.5" customHeight="1">
      <c r="L361" s="280"/>
    </row>
    <row r="362" spans="12:12" ht="13.5" customHeight="1">
      <c r="L362" s="280"/>
    </row>
    <row r="363" spans="12:12" ht="13.5" customHeight="1">
      <c r="L363" s="280"/>
    </row>
    <row r="364" spans="12:12" ht="13.5" customHeight="1">
      <c r="L364" s="280"/>
    </row>
    <row r="365" spans="12:12" ht="13.5" customHeight="1">
      <c r="L365" s="280"/>
    </row>
    <row r="366" spans="12:12" ht="13.5" customHeight="1">
      <c r="L366" s="280"/>
    </row>
    <row r="367" spans="12:12" ht="13.5" customHeight="1">
      <c r="L367" s="280"/>
    </row>
    <row r="368" spans="12:12" ht="13.5" customHeight="1">
      <c r="L368" s="280"/>
    </row>
    <row r="369" spans="12:12" ht="13.5" customHeight="1">
      <c r="L369" s="280"/>
    </row>
    <row r="370" spans="12:12" ht="13.5" customHeight="1">
      <c r="L370" s="280"/>
    </row>
    <row r="371" spans="12:12" ht="13.5" customHeight="1">
      <c r="L371" s="280"/>
    </row>
    <row r="372" spans="12:12" ht="13.5" customHeight="1">
      <c r="L372" s="280"/>
    </row>
    <row r="373" spans="12:12" ht="13.5" customHeight="1">
      <c r="L373" s="280"/>
    </row>
    <row r="374" spans="12:12" ht="13.5" customHeight="1">
      <c r="L374" s="280"/>
    </row>
    <row r="375" spans="12:12" ht="13.5" customHeight="1">
      <c r="L375" s="280"/>
    </row>
    <row r="376" spans="12:12" ht="13.5" customHeight="1">
      <c r="L376" s="280"/>
    </row>
    <row r="377" spans="12:12" ht="13.5" customHeight="1">
      <c r="L377" s="280"/>
    </row>
    <row r="378" spans="12:12" ht="13.5" customHeight="1">
      <c r="L378" s="280"/>
    </row>
    <row r="379" spans="12:12" ht="13.5" customHeight="1">
      <c r="L379" s="280"/>
    </row>
    <row r="380" spans="12:12" ht="13.5" customHeight="1">
      <c r="L380" s="280"/>
    </row>
    <row r="381" spans="12:12" ht="13.5" customHeight="1">
      <c r="L381" s="280"/>
    </row>
    <row r="382" spans="12:12" ht="13.5" customHeight="1">
      <c r="L382" s="280"/>
    </row>
    <row r="383" spans="12:12" ht="13.5" customHeight="1">
      <c r="L383" s="280"/>
    </row>
    <row r="384" spans="12:12" ht="13.5" customHeight="1">
      <c r="L384" s="280"/>
    </row>
    <row r="385" spans="12:12" ht="13.5" customHeight="1">
      <c r="L385" s="280"/>
    </row>
    <row r="386" spans="12:12" ht="13.5" customHeight="1">
      <c r="L386" s="280"/>
    </row>
    <row r="387" spans="12:12" ht="13.5" customHeight="1">
      <c r="L387" s="280"/>
    </row>
    <row r="388" spans="12:12" ht="13.5" customHeight="1">
      <c r="L388" s="280"/>
    </row>
    <row r="389" spans="12:12" ht="13.5" customHeight="1">
      <c r="L389" s="280"/>
    </row>
    <row r="390" spans="12:12" ht="13.5" customHeight="1">
      <c r="L390" s="280"/>
    </row>
    <row r="391" spans="12:12" ht="13.5" customHeight="1">
      <c r="L391" s="280"/>
    </row>
    <row r="392" spans="12:12" ht="13.5" customHeight="1">
      <c r="L392" s="280"/>
    </row>
    <row r="393" spans="12:12" ht="13.5" customHeight="1">
      <c r="L393" s="280"/>
    </row>
    <row r="394" spans="12:12" ht="13.5" customHeight="1">
      <c r="L394" s="280"/>
    </row>
    <row r="395" spans="12:12" ht="13.5" customHeight="1">
      <c r="L395" s="280"/>
    </row>
    <row r="396" spans="12:12" ht="13.5" customHeight="1">
      <c r="L396" s="280"/>
    </row>
    <row r="397" spans="12:12" ht="13.5" customHeight="1">
      <c r="L397" s="280"/>
    </row>
    <row r="398" spans="12:12" ht="13.5" customHeight="1">
      <c r="L398" s="280"/>
    </row>
    <row r="399" spans="12:12" ht="13.5" customHeight="1">
      <c r="L399" s="280"/>
    </row>
    <row r="400" spans="12:12" ht="13.5" customHeight="1">
      <c r="L400" s="280"/>
    </row>
    <row r="401" spans="12:12" ht="13.5" customHeight="1">
      <c r="L401" s="280"/>
    </row>
    <row r="402" spans="12:12" ht="13.5" customHeight="1">
      <c r="L402" s="280"/>
    </row>
    <row r="403" spans="12:12" ht="13.5" customHeight="1">
      <c r="L403" s="280"/>
    </row>
    <row r="404" spans="12:12" ht="13.5" customHeight="1">
      <c r="L404" s="280"/>
    </row>
    <row r="405" spans="12:12" ht="13.5" customHeight="1">
      <c r="L405" s="280"/>
    </row>
    <row r="406" spans="12:12" ht="13.5" customHeight="1">
      <c r="L406" s="280"/>
    </row>
    <row r="407" spans="12:12" ht="13.5" customHeight="1">
      <c r="L407" s="280"/>
    </row>
    <row r="408" spans="12:12" ht="13.5" customHeight="1">
      <c r="L408" s="280"/>
    </row>
    <row r="409" spans="12:12" ht="13.5" customHeight="1">
      <c r="L409" s="280"/>
    </row>
    <row r="410" spans="12:12" ht="13.5" customHeight="1">
      <c r="L410" s="280"/>
    </row>
    <row r="411" spans="12:12" ht="13.5" customHeight="1">
      <c r="L411" s="280"/>
    </row>
    <row r="412" spans="12:12" ht="13.5" customHeight="1">
      <c r="L412" s="280"/>
    </row>
    <row r="413" spans="12:12" ht="13.5" customHeight="1">
      <c r="L413" s="280"/>
    </row>
    <row r="414" spans="12:12" ht="13.5" customHeight="1">
      <c r="L414" s="280"/>
    </row>
    <row r="415" spans="12:12" ht="13.5" customHeight="1">
      <c r="L415" s="280"/>
    </row>
    <row r="416" spans="12:12" ht="13.5" customHeight="1">
      <c r="L416" s="280"/>
    </row>
    <row r="417" spans="12:12" ht="13.5" customHeight="1">
      <c r="L417" s="280"/>
    </row>
    <row r="418" spans="12:12" ht="13.5" customHeight="1">
      <c r="L418" s="280"/>
    </row>
    <row r="419" spans="12:12" ht="13.5" customHeight="1">
      <c r="L419" s="280"/>
    </row>
    <row r="420" spans="12:12" ht="13.5" customHeight="1">
      <c r="L420" s="280"/>
    </row>
    <row r="421" spans="12:12" ht="13.5" customHeight="1">
      <c r="L421" s="280"/>
    </row>
    <row r="422" spans="12:12" ht="13.5" customHeight="1">
      <c r="L422" s="280"/>
    </row>
    <row r="423" spans="12:12" ht="13.5" customHeight="1">
      <c r="L423" s="280"/>
    </row>
    <row r="424" spans="12:12" ht="13.5" customHeight="1">
      <c r="L424" s="280"/>
    </row>
    <row r="425" spans="12:12" ht="13.5" customHeight="1">
      <c r="L425" s="280"/>
    </row>
    <row r="426" spans="12:12" ht="13.5" customHeight="1">
      <c r="L426" s="280"/>
    </row>
    <row r="427" spans="12:12" ht="13.5" customHeight="1">
      <c r="L427" s="280"/>
    </row>
    <row r="428" spans="12:12" ht="13.5" customHeight="1">
      <c r="L428" s="280"/>
    </row>
    <row r="429" spans="12:12" ht="13.5" customHeight="1">
      <c r="L429" s="280"/>
    </row>
    <row r="430" spans="12:12" ht="13.5" customHeight="1">
      <c r="L430" s="280"/>
    </row>
    <row r="431" spans="12:12" ht="13.5" customHeight="1">
      <c r="L431" s="280"/>
    </row>
    <row r="432" spans="12:12" ht="13.5" customHeight="1">
      <c r="L432" s="280"/>
    </row>
    <row r="433" spans="12:12" ht="13.5" customHeight="1">
      <c r="L433" s="280"/>
    </row>
    <row r="434" spans="12:12" ht="13.5" customHeight="1">
      <c r="L434" s="280"/>
    </row>
    <row r="435" spans="12:12" ht="13.5" customHeight="1">
      <c r="L435" s="280"/>
    </row>
    <row r="436" spans="12:12" ht="13.5" customHeight="1">
      <c r="L436" s="280"/>
    </row>
    <row r="437" spans="12:12" ht="13.5" customHeight="1">
      <c r="L437" s="280"/>
    </row>
    <row r="438" spans="12:12" ht="13.5" customHeight="1">
      <c r="L438" s="280"/>
    </row>
    <row r="439" spans="12:12" ht="13.5" customHeight="1">
      <c r="L439" s="280"/>
    </row>
    <row r="440" spans="12:12" ht="13.5" customHeight="1">
      <c r="L440" s="280"/>
    </row>
    <row r="441" spans="12:12" ht="13.5" customHeight="1">
      <c r="L441" s="280"/>
    </row>
    <row r="442" spans="12:12" ht="13.5" customHeight="1">
      <c r="L442" s="280"/>
    </row>
    <row r="443" spans="12:12" ht="13.5" customHeight="1">
      <c r="L443" s="280"/>
    </row>
    <row r="444" spans="12:12" ht="13.5" customHeight="1">
      <c r="L444" s="280"/>
    </row>
    <row r="445" spans="12:12" ht="13.5" customHeight="1">
      <c r="L445" s="280"/>
    </row>
    <row r="446" spans="12:12" ht="13.5" customHeight="1">
      <c r="L446" s="280"/>
    </row>
    <row r="447" spans="12:12" ht="13.5" customHeight="1">
      <c r="L447" s="280"/>
    </row>
    <row r="448" spans="12:12" ht="13.5" customHeight="1">
      <c r="L448" s="280"/>
    </row>
    <row r="449" spans="12:12" ht="13.5" customHeight="1">
      <c r="L449" s="280"/>
    </row>
    <row r="450" spans="12:12" ht="13.5" customHeight="1">
      <c r="L450" s="280"/>
    </row>
    <row r="451" spans="12:12" ht="13.5" customHeight="1">
      <c r="L451" s="280"/>
    </row>
    <row r="452" spans="12:12" ht="13.5" customHeight="1">
      <c r="L452" s="280"/>
    </row>
    <row r="453" spans="12:12" ht="13.5" customHeight="1">
      <c r="L453" s="280"/>
    </row>
    <row r="454" spans="12:12" ht="13.5" customHeight="1">
      <c r="L454" s="280"/>
    </row>
    <row r="455" spans="12:12" ht="13.5" customHeight="1">
      <c r="L455" s="280"/>
    </row>
    <row r="456" spans="12:12" ht="13.5" customHeight="1">
      <c r="L456" s="280"/>
    </row>
    <row r="457" spans="12:12" ht="13.5" customHeight="1">
      <c r="L457" s="280"/>
    </row>
    <row r="458" spans="12:12" ht="13.5" customHeight="1">
      <c r="L458" s="280"/>
    </row>
    <row r="459" spans="12:12" ht="13.5" customHeight="1">
      <c r="L459" s="280"/>
    </row>
    <row r="460" spans="12:12" ht="13.5" customHeight="1">
      <c r="L460" s="280"/>
    </row>
    <row r="461" spans="12:12" ht="13.5" customHeight="1">
      <c r="L461" s="280"/>
    </row>
    <row r="462" spans="12:12" ht="13.5" customHeight="1">
      <c r="L462" s="280"/>
    </row>
    <row r="463" spans="12:12" ht="13.5" customHeight="1">
      <c r="L463" s="280"/>
    </row>
    <row r="464" spans="12:12" ht="13.5" customHeight="1">
      <c r="L464" s="280"/>
    </row>
    <row r="465" spans="12:12" ht="13.5" customHeight="1">
      <c r="L465" s="280"/>
    </row>
    <row r="466" spans="12:12" ht="13.5" customHeight="1">
      <c r="L466" s="280"/>
    </row>
    <row r="467" spans="12:12" ht="13.5" customHeight="1">
      <c r="L467" s="280"/>
    </row>
    <row r="468" spans="12:12" ht="13.5" customHeight="1">
      <c r="L468" s="280"/>
    </row>
    <row r="469" spans="12:12" ht="13.5" customHeight="1">
      <c r="L469" s="280"/>
    </row>
    <row r="470" spans="12:12" ht="13.5" customHeight="1">
      <c r="L470" s="280"/>
    </row>
    <row r="471" spans="12:12" ht="13.5" customHeight="1">
      <c r="L471" s="280"/>
    </row>
    <row r="472" spans="12:12" ht="13.5" customHeight="1">
      <c r="L472" s="280"/>
    </row>
    <row r="473" spans="12:12" ht="13.5" customHeight="1">
      <c r="L473" s="280"/>
    </row>
    <row r="474" spans="12:12" ht="13.5" customHeight="1">
      <c r="L474" s="280"/>
    </row>
    <row r="475" spans="12:12" ht="13.5" customHeight="1">
      <c r="L475" s="280"/>
    </row>
    <row r="476" spans="12:12" ht="13.5" customHeight="1">
      <c r="L476" s="280"/>
    </row>
    <row r="477" spans="12:12" ht="13.5" customHeight="1">
      <c r="L477" s="280"/>
    </row>
    <row r="478" spans="12:12" ht="13.5" customHeight="1">
      <c r="L478" s="280"/>
    </row>
    <row r="479" spans="12:12" ht="13.5" customHeight="1">
      <c r="L479" s="280"/>
    </row>
    <row r="480" spans="12:12" ht="13.5" customHeight="1">
      <c r="L480" s="280"/>
    </row>
    <row r="481" spans="12:12" ht="13.5" customHeight="1">
      <c r="L481" s="280"/>
    </row>
    <row r="482" spans="12:12" ht="13.5" customHeight="1">
      <c r="L482" s="280"/>
    </row>
    <row r="483" spans="12:12" ht="13.5" customHeight="1">
      <c r="L483" s="280"/>
    </row>
    <row r="484" spans="12:12" ht="13.5" customHeight="1">
      <c r="L484" s="280"/>
    </row>
    <row r="485" spans="12:12" ht="13.5" customHeight="1">
      <c r="L485" s="280"/>
    </row>
    <row r="486" spans="12:12" ht="13.5" customHeight="1">
      <c r="L486" s="280"/>
    </row>
    <row r="487" spans="12:12" ht="13.5" customHeight="1">
      <c r="L487" s="280"/>
    </row>
    <row r="488" spans="12:12" ht="13.5" customHeight="1">
      <c r="L488" s="280"/>
    </row>
    <row r="489" spans="12:12" ht="13.5" customHeight="1">
      <c r="L489" s="280"/>
    </row>
    <row r="490" spans="12:12" ht="13.5" customHeight="1">
      <c r="L490" s="280"/>
    </row>
    <row r="491" spans="12:12" ht="13.5" customHeight="1">
      <c r="L491" s="280"/>
    </row>
    <row r="492" spans="12:12" ht="13.5" customHeight="1">
      <c r="L492" s="280"/>
    </row>
    <row r="493" spans="12:12" ht="13.5" customHeight="1">
      <c r="L493" s="280"/>
    </row>
    <row r="494" spans="12:12" ht="13.5" customHeight="1">
      <c r="L494" s="280"/>
    </row>
    <row r="495" spans="12:12" ht="13.5" customHeight="1">
      <c r="L495" s="280"/>
    </row>
    <row r="496" spans="12:12" ht="13.5" customHeight="1">
      <c r="L496" s="280"/>
    </row>
    <row r="497" spans="12:12" ht="13.5" customHeight="1">
      <c r="L497" s="280"/>
    </row>
    <row r="498" spans="12:12" ht="13.5" customHeight="1">
      <c r="L498" s="280"/>
    </row>
    <row r="499" spans="12:12" ht="13.5" customHeight="1">
      <c r="L499" s="280"/>
    </row>
    <row r="500" spans="12:12" ht="13.5" customHeight="1">
      <c r="L500" s="280"/>
    </row>
    <row r="501" spans="12:12" ht="13.5" customHeight="1">
      <c r="L501" s="280"/>
    </row>
    <row r="502" spans="12:12" ht="13.5" customHeight="1">
      <c r="L502" s="280"/>
    </row>
    <row r="503" spans="12:12" ht="13.5" customHeight="1">
      <c r="L503" s="280"/>
    </row>
    <row r="504" spans="12:12" ht="13.5" customHeight="1">
      <c r="L504" s="280"/>
    </row>
    <row r="505" spans="12:12" ht="13.5" customHeight="1">
      <c r="L505" s="280"/>
    </row>
    <row r="506" spans="12:12" ht="13.5" customHeight="1">
      <c r="L506" s="280"/>
    </row>
    <row r="507" spans="12:12" ht="13.5" customHeight="1">
      <c r="L507" s="280"/>
    </row>
    <row r="508" spans="12:12" ht="13.5" customHeight="1">
      <c r="L508" s="280"/>
    </row>
    <row r="509" spans="12:12" ht="13.5" customHeight="1">
      <c r="L509" s="280"/>
    </row>
    <row r="510" spans="12:12" ht="13.5" customHeight="1">
      <c r="L510" s="280"/>
    </row>
    <row r="511" spans="12:12" ht="13.5" customHeight="1">
      <c r="L511" s="280"/>
    </row>
    <row r="512" spans="12:12" ht="13.5" customHeight="1">
      <c r="L512" s="280"/>
    </row>
    <row r="513" spans="12:12" ht="13.5" customHeight="1">
      <c r="L513" s="280"/>
    </row>
    <row r="514" spans="12:12" ht="13.5" customHeight="1">
      <c r="L514" s="280"/>
    </row>
    <row r="515" spans="12:12" ht="13.5" customHeight="1">
      <c r="L515" s="280"/>
    </row>
    <row r="516" spans="12:12" ht="13.5" customHeight="1">
      <c r="L516" s="280"/>
    </row>
    <row r="517" spans="12:12" ht="13.5" customHeight="1">
      <c r="L517" s="280"/>
    </row>
    <row r="518" spans="12:12" ht="13.5" customHeight="1">
      <c r="L518" s="280"/>
    </row>
    <row r="519" spans="12:12" ht="13.5" customHeight="1">
      <c r="L519" s="280"/>
    </row>
    <row r="520" spans="12:12" ht="13.5" customHeight="1">
      <c r="L520" s="280"/>
    </row>
    <row r="521" spans="12:12" ht="13.5" customHeight="1">
      <c r="L521" s="280"/>
    </row>
    <row r="522" spans="12:12" ht="13.5" customHeight="1">
      <c r="L522" s="280"/>
    </row>
    <row r="523" spans="12:12" ht="13.5" customHeight="1">
      <c r="L523" s="280"/>
    </row>
    <row r="524" spans="12:12" ht="13.5" customHeight="1">
      <c r="L524" s="280"/>
    </row>
    <row r="525" spans="12:12" ht="13.5" customHeight="1">
      <c r="L525" s="280"/>
    </row>
    <row r="526" spans="12:12" ht="13.5" customHeight="1">
      <c r="L526" s="280"/>
    </row>
    <row r="527" spans="12:12" ht="13.5" customHeight="1">
      <c r="L527" s="280"/>
    </row>
    <row r="528" spans="12:12" ht="13.5" customHeight="1">
      <c r="L528" s="280"/>
    </row>
    <row r="529" spans="12:12" ht="13.5" customHeight="1">
      <c r="L529" s="280"/>
    </row>
    <row r="530" spans="12:12" ht="13.5" customHeight="1">
      <c r="L530" s="280"/>
    </row>
    <row r="531" spans="12:12" ht="13.5" customHeight="1">
      <c r="L531" s="280"/>
    </row>
    <row r="532" spans="12:12" ht="13.5" customHeight="1">
      <c r="L532" s="280"/>
    </row>
    <row r="533" spans="12:12" ht="13.5" customHeight="1">
      <c r="L533" s="280"/>
    </row>
    <row r="534" spans="12:12" ht="13.5" customHeight="1">
      <c r="L534" s="280"/>
    </row>
    <row r="535" spans="12:12" ht="13.5" customHeight="1">
      <c r="L535" s="280"/>
    </row>
    <row r="536" spans="12:12" ht="13.5" customHeight="1">
      <c r="L536" s="280"/>
    </row>
    <row r="537" spans="12:12" ht="13.5" customHeight="1">
      <c r="L537" s="280"/>
    </row>
    <row r="538" spans="12:12" ht="13.5" customHeight="1">
      <c r="L538" s="280"/>
    </row>
    <row r="539" spans="12:12" ht="13.5" customHeight="1">
      <c r="L539" s="280"/>
    </row>
    <row r="540" spans="12:12" ht="13.5" customHeight="1">
      <c r="L540" s="280"/>
    </row>
    <row r="541" spans="12:12" ht="13.5" customHeight="1">
      <c r="L541" s="280"/>
    </row>
    <row r="542" spans="12:12" ht="13.5" customHeight="1">
      <c r="L542" s="280"/>
    </row>
    <row r="543" spans="12:12" ht="13.5" customHeight="1">
      <c r="L543" s="280"/>
    </row>
    <row r="544" spans="12:12" ht="13.5" customHeight="1">
      <c r="L544" s="280"/>
    </row>
    <row r="545" spans="12:12" ht="13.5" customHeight="1">
      <c r="L545" s="280"/>
    </row>
    <row r="546" spans="12:12" ht="13.5" customHeight="1">
      <c r="L546" s="280"/>
    </row>
    <row r="547" spans="12:12" ht="13.5" customHeight="1">
      <c r="L547" s="280"/>
    </row>
    <row r="548" spans="12:12" ht="13.5" customHeight="1">
      <c r="L548" s="280"/>
    </row>
    <row r="549" spans="12:12" ht="13.5" customHeight="1">
      <c r="L549" s="280"/>
    </row>
    <row r="550" spans="12:12" ht="13.5" customHeight="1">
      <c r="L550" s="280"/>
    </row>
    <row r="551" spans="12:12" ht="13.5" customHeight="1">
      <c r="L551" s="280"/>
    </row>
    <row r="552" spans="12:12" ht="13.5" customHeight="1">
      <c r="L552" s="280"/>
    </row>
    <row r="553" spans="12:12" ht="13.5" customHeight="1">
      <c r="L553" s="280"/>
    </row>
    <row r="554" spans="12:12" ht="13.5" customHeight="1">
      <c r="L554" s="280"/>
    </row>
    <row r="555" spans="12:12" ht="13.5" customHeight="1">
      <c r="L555" s="280"/>
    </row>
    <row r="556" spans="12:12" ht="13.5" customHeight="1">
      <c r="L556" s="280"/>
    </row>
    <row r="557" spans="12:12" ht="13.5" customHeight="1">
      <c r="L557" s="280"/>
    </row>
    <row r="558" spans="12:12" ht="13.5" customHeight="1">
      <c r="L558" s="280"/>
    </row>
    <row r="559" spans="12:12" ht="13.5" customHeight="1">
      <c r="L559" s="280"/>
    </row>
    <row r="560" spans="12:12" ht="13.5" customHeight="1">
      <c r="L560" s="280"/>
    </row>
    <row r="561" spans="12:12" ht="13.5" customHeight="1">
      <c r="L561" s="280"/>
    </row>
    <row r="562" spans="12:12" ht="13.5" customHeight="1">
      <c r="L562" s="280"/>
    </row>
    <row r="563" spans="12:12" ht="13.5" customHeight="1">
      <c r="L563" s="280"/>
    </row>
    <row r="564" spans="12:12" ht="13.5" customHeight="1">
      <c r="L564" s="280"/>
    </row>
    <row r="565" spans="12:12" ht="13.5" customHeight="1">
      <c r="L565" s="280"/>
    </row>
    <row r="566" spans="12:12" ht="13.5" customHeight="1">
      <c r="L566" s="280"/>
    </row>
    <row r="567" spans="12:12" ht="13.5" customHeight="1">
      <c r="L567" s="280"/>
    </row>
    <row r="568" spans="12:12" ht="13.5" customHeight="1">
      <c r="L568" s="280"/>
    </row>
    <row r="569" spans="12:12" ht="13.5" customHeight="1">
      <c r="L569" s="280"/>
    </row>
    <row r="570" spans="12:12" ht="13.5" customHeight="1">
      <c r="L570" s="280"/>
    </row>
    <row r="571" spans="12:12" ht="13.5" customHeight="1">
      <c r="L571" s="280"/>
    </row>
    <row r="572" spans="12:12" ht="13.5" customHeight="1">
      <c r="L572" s="280"/>
    </row>
    <row r="573" spans="12:12" ht="13.5" customHeight="1">
      <c r="L573" s="280"/>
    </row>
    <row r="574" spans="12:12" ht="13.5" customHeight="1">
      <c r="L574" s="280"/>
    </row>
    <row r="575" spans="12:12" ht="13.5" customHeight="1">
      <c r="L575" s="280"/>
    </row>
    <row r="576" spans="12:12" ht="13.5" customHeight="1">
      <c r="L576" s="280"/>
    </row>
    <row r="577" spans="12:12" ht="13.5" customHeight="1">
      <c r="L577" s="280"/>
    </row>
    <row r="578" spans="12:12" ht="13.5" customHeight="1">
      <c r="L578" s="280"/>
    </row>
    <row r="579" spans="12:12" ht="13.5" customHeight="1">
      <c r="L579" s="280"/>
    </row>
    <row r="580" spans="12:12" ht="13.5" customHeight="1">
      <c r="L580" s="280"/>
    </row>
    <row r="581" spans="12:12" ht="13.5" customHeight="1">
      <c r="L581" s="280"/>
    </row>
    <row r="582" spans="12:12" ht="13.5" customHeight="1">
      <c r="L582" s="280"/>
    </row>
    <row r="583" spans="12:12" ht="13.5" customHeight="1">
      <c r="L583" s="280"/>
    </row>
    <row r="584" spans="12:12" ht="13.5" customHeight="1">
      <c r="L584" s="280"/>
    </row>
    <row r="585" spans="12:12" ht="13.5" customHeight="1">
      <c r="L585" s="280"/>
    </row>
    <row r="586" spans="12:12" ht="13.5" customHeight="1">
      <c r="L586" s="280"/>
    </row>
    <row r="587" spans="12:12" ht="13.5" customHeight="1">
      <c r="L587" s="280"/>
    </row>
    <row r="588" spans="12:12" ht="13.5" customHeight="1">
      <c r="L588" s="280"/>
    </row>
    <row r="589" spans="12:12" ht="13.5" customHeight="1">
      <c r="L589" s="280"/>
    </row>
    <row r="590" spans="12:12" ht="13.5" customHeight="1">
      <c r="L590" s="280"/>
    </row>
    <row r="591" spans="12:12" ht="13.5" customHeight="1">
      <c r="L591" s="280"/>
    </row>
    <row r="592" spans="12:12" ht="13.5" customHeight="1">
      <c r="L592" s="280"/>
    </row>
    <row r="593" spans="12:12" ht="13.5" customHeight="1">
      <c r="L593" s="280"/>
    </row>
    <row r="594" spans="12:12" ht="13.5" customHeight="1">
      <c r="L594" s="280"/>
    </row>
    <row r="595" spans="12:12" ht="13.5" customHeight="1">
      <c r="L595" s="280"/>
    </row>
    <row r="596" spans="12:12" ht="13.5" customHeight="1">
      <c r="L596" s="280"/>
    </row>
    <row r="597" spans="12:12" ht="13.5" customHeight="1">
      <c r="L597" s="280"/>
    </row>
    <row r="598" spans="12:12" ht="13.5" customHeight="1">
      <c r="L598" s="280"/>
    </row>
    <row r="599" spans="12:12" ht="13.5" customHeight="1">
      <c r="L599" s="280"/>
    </row>
    <row r="600" spans="12:12" ht="13.5" customHeight="1">
      <c r="L600" s="280"/>
    </row>
    <row r="601" spans="12:12" ht="13.5" customHeight="1">
      <c r="L601" s="280"/>
    </row>
    <row r="602" spans="12:12" ht="13.5" customHeight="1">
      <c r="L602" s="280"/>
    </row>
    <row r="603" spans="12:12" ht="13.5" customHeight="1">
      <c r="L603" s="280"/>
    </row>
    <row r="604" spans="12:12" ht="13.5" customHeight="1">
      <c r="L604" s="280"/>
    </row>
    <row r="605" spans="12:12" ht="13.5" customHeight="1">
      <c r="L605" s="280"/>
    </row>
    <row r="606" spans="12:12" ht="13.5" customHeight="1">
      <c r="L606" s="280"/>
    </row>
    <row r="607" spans="12:12" ht="13.5" customHeight="1">
      <c r="L607" s="280"/>
    </row>
    <row r="608" spans="12:12" ht="13.5" customHeight="1">
      <c r="L608" s="280"/>
    </row>
    <row r="609" spans="12:12" ht="13.5" customHeight="1">
      <c r="L609" s="280"/>
    </row>
    <row r="610" spans="12:12" ht="13.5" customHeight="1">
      <c r="L610" s="280"/>
    </row>
    <row r="611" spans="12:12" ht="13.5" customHeight="1">
      <c r="L611" s="280"/>
    </row>
    <row r="612" spans="12:12" ht="13.5" customHeight="1">
      <c r="L612" s="280"/>
    </row>
    <row r="613" spans="12:12" ht="13.5" customHeight="1">
      <c r="L613" s="280"/>
    </row>
    <row r="614" spans="12:12" ht="13.5" customHeight="1">
      <c r="L614" s="280"/>
    </row>
    <row r="615" spans="12:12" ht="13.5" customHeight="1">
      <c r="L615" s="280"/>
    </row>
    <row r="616" spans="12:12" ht="13.5" customHeight="1">
      <c r="L616" s="280"/>
    </row>
    <row r="617" spans="12:12" ht="13.5" customHeight="1">
      <c r="L617" s="280"/>
    </row>
    <row r="618" spans="12:12" ht="13.5" customHeight="1">
      <c r="L618" s="280"/>
    </row>
    <row r="619" spans="12:12" ht="13.5" customHeight="1">
      <c r="L619" s="280"/>
    </row>
    <row r="620" spans="12:12" ht="13.5" customHeight="1">
      <c r="L620" s="280"/>
    </row>
    <row r="621" spans="12:12" ht="13.5" customHeight="1">
      <c r="L621" s="280"/>
    </row>
    <row r="622" spans="12:12" ht="13.5" customHeight="1">
      <c r="L622" s="280"/>
    </row>
    <row r="623" spans="12:12" ht="13.5" customHeight="1">
      <c r="L623" s="280"/>
    </row>
    <row r="624" spans="12:12" ht="13.5" customHeight="1">
      <c r="L624" s="280"/>
    </row>
    <row r="625" spans="12:12" ht="13.5" customHeight="1">
      <c r="L625" s="280"/>
    </row>
    <row r="626" spans="12:12" ht="13.5" customHeight="1">
      <c r="L626" s="280"/>
    </row>
    <row r="627" spans="12:12" ht="13.5" customHeight="1">
      <c r="L627" s="280"/>
    </row>
    <row r="628" spans="12:12" ht="13.5" customHeight="1">
      <c r="L628" s="280"/>
    </row>
    <row r="629" spans="12:12" ht="13.5" customHeight="1">
      <c r="L629" s="280"/>
    </row>
    <row r="630" spans="12:12" ht="13.5" customHeight="1">
      <c r="L630" s="280"/>
    </row>
    <row r="631" spans="12:12" ht="13.5" customHeight="1">
      <c r="L631" s="280"/>
    </row>
    <row r="632" spans="12:12" ht="13.5" customHeight="1">
      <c r="L632" s="280"/>
    </row>
    <row r="633" spans="12:12" ht="13.5" customHeight="1">
      <c r="L633" s="280"/>
    </row>
    <row r="634" spans="12:12" ht="13.5" customHeight="1">
      <c r="L634" s="280"/>
    </row>
    <row r="635" spans="12:12" ht="13.5" customHeight="1">
      <c r="L635" s="280"/>
    </row>
    <row r="636" spans="12:12" ht="13.5" customHeight="1">
      <c r="L636" s="280"/>
    </row>
    <row r="637" spans="12:12" ht="13.5" customHeight="1">
      <c r="L637" s="280"/>
    </row>
    <row r="638" spans="12:12" ht="13.5" customHeight="1">
      <c r="L638" s="280"/>
    </row>
    <row r="639" spans="12:12" ht="13.5" customHeight="1">
      <c r="L639" s="280"/>
    </row>
    <row r="640" spans="12:12" ht="13.5" customHeight="1">
      <c r="L640" s="280"/>
    </row>
    <row r="641" spans="12:12" ht="13.5" customHeight="1">
      <c r="L641" s="280"/>
    </row>
    <row r="642" spans="12:12" ht="13.5" customHeight="1">
      <c r="L642" s="280"/>
    </row>
    <row r="643" spans="12:12" ht="13.5" customHeight="1">
      <c r="L643" s="280"/>
    </row>
    <row r="644" spans="12:12" ht="13.5" customHeight="1">
      <c r="L644" s="280"/>
    </row>
    <row r="645" spans="12:12" ht="13.5" customHeight="1">
      <c r="L645" s="280"/>
    </row>
    <row r="646" spans="12:12" ht="13.5" customHeight="1">
      <c r="L646" s="280"/>
    </row>
    <row r="647" spans="12:12" ht="13.5" customHeight="1">
      <c r="L647" s="280"/>
    </row>
    <row r="648" spans="12:12" ht="13.5" customHeight="1">
      <c r="L648" s="280"/>
    </row>
    <row r="649" spans="12:12" ht="13.5" customHeight="1">
      <c r="L649" s="280"/>
    </row>
    <row r="650" spans="12:12" ht="13.5" customHeight="1">
      <c r="L650" s="280"/>
    </row>
    <row r="651" spans="12:12" ht="13.5" customHeight="1">
      <c r="L651" s="280"/>
    </row>
    <row r="652" spans="12:12" ht="13.5" customHeight="1">
      <c r="L652" s="280"/>
    </row>
    <row r="653" spans="12:12" ht="13.5" customHeight="1">
      <c r="L653" s="280"/>
    </row>
    <row r="654" spans="12:12" ht="13.5" customHeight="1">
      <c r="L654" s="280"/>
    </row>
    <row r="655" spans="12:12" ht="13.5" customHeight="1">
      <c r="L655" s="280"/>
    </row>
    <row r="656" spans="12:12" ht="13.5" customHeight="1">
      <c r="L656" s="280"/>
    </row>
    <row r="657" spans="12:12" ht="13.5" customHeight="1">
      <c r="L657" s="280"/>
    </row>
    <row r="658" spans="12:12" ht="13.5" customHeight="1">
      <c r="L658" s="280"/>
    </row>
    <row r="659" spans="12:12" ht="13.5" customHeight="1">
      <c r="L659" s="280"/>
    </row>
    <row r="660" spans="12:12" ht="13.5" customHeight="1">
      <c r="L660" s="280"/>
    </row>
    <row r="661" spans="12:12" ht="13.5" customHeight="1">
      <c r="L661" s="280"/>
    </row>
    <row r="662" spans="12:12" ht="13.5" customHeight="1">
      <c r="L662" s="280"/>
    </row>
    <row r="663" spans="12:12" ht="13.5" customHeight="1">
      <c r="L663" s="280"/>
    </row>
    <row r="664" spans="12:12" ht="13.5" customHeight="1">
      <c r="L664" s="280"/>
    </row>
    <row r="665" spans="12:12" ht="13.5" customHeight="1">
      <c r="L665" s="280"/>
    </row>
    <row r="666" spans="12:12" ht="13.5" customHeight="1">
      <c r="L666" s="280"/>
    </row>
    <row r="667" spans="12:12" ht="13.5" customHeight="1">
      <c r="L667" s="280"/>
    </row>
    <row r="668" spans="12:12" ht="13.5" customHeight="1">
      <c r="L668" s="280"/>
    </row>
    <row r="669" spans="12:12" ht="13.5" customHeight="1">
      <c r="L669" s="280"/>
    </row>
    <row r="670" spans="12:12" ht="13.5" customHeight="1">
      <c r="L670" s="280"/>
    </row>
    <row r="671" spans="12:12" ht="13.5" customHeight="1">
      <c r="L671" s="280"/>
    </row>
    <row r="672" spans="12:12" ht="13.5" customHeight="1">
      <c r="L672" s="280"/>
    </row>
    <row r="673" spans="12:12" ht="13.5" customHeight="1">
      <c r="L673" s="280"/>
    </row>
    <row r="674" spans="12:12" ht="13.5" customHeight="1">
      <c r="L674" s="280"/>
    </row>
    <row r="675" spans="12:12" ht="13.5" customHeight="1">
      <c r="L675" s="280"/>
    </row>
    <row r="676" spans="12:12" ht="13.5" customHeight="1">
      <c r="L676" s="280"/>
    </row>
    <row r="677" spans="12:12" ht="13.5" customHeight="1">
      <c r="L677" s="280"/>
    </row>
    <row r="678" spans="12:12" ht="13.5" customHeight="1">
      <c r="L678" s="280"/>
    </row>
    <row r="679" spans="12:12" ht="13.5" customHeight="1">
      <c r="L679" s="280"/>
    </row>
    <row r="680" spans="12:12" ht="13.5" customHeight="1">
      <c r="L680" s="280"/>
    </row>
    <row r="681" spans="12:12" ht="13.5" customHeight="1">
      <c r="L681" s="280"/>
    </row>
    <row r="682" spans="12:12" ht="13.5" customHeight="1">
      <c r="L682" s="280"/>
    </row>
    <row r="683" spans="12:12" ht="13.5" customHeight="1">
      <c r="L683" s="280"/>
    </row>
    <row r="684" spans="12:12" ht="13.5" customHeight="1">
      <c r="L684" s="280"/>
    </row>
    <row r="685" spans="12:12" ht="13.5" customHeight="1">
      <c r="L685" s="280"/>
    </row>
    <row r="686" spans="12:12" ht="13.5" customHeight="1">
      <c r="L686" s="280"/>
    </row>
    <row r="687" spans="12:12" ht="13.5" customHeight="1">
      <c r="L687" s="280"/>
    </row>
    <row r="688" spans="12:12" ht="13.5" customHeight="1">
      <c r="L688" s="280"/>
    </row>
    <row r="689" spans="12:12" ht="13.5" customHeight="1">
      <c r="L689" s="280"/>
    </row>
    <row r="690" spans="12:12" ht="13.5" customHeight="1">
      <c r="L690" s="280"/>
    </row>
    <row r="691" spans="12:12" ht="13.5" customHeight="1">
      <c r="L691" s="280"/>
    </row>
    <row r="692" spans="12:12" ht="13.5" customHeight="1">
      <c r="L692" s="280"/>
    </row>
    <row r="693" spans="12:12" ht="13.5" customHeight="1">
      <c r="L693" s="280"/>
    </row>
    <row r="694" spans="12:12" ht="13.5" customHeight="1">
      <c r="L694" s="280"/>
    </row>
    <row r="695" spans="12:12" ht="13.5" customHeight="1">
      <c r="L695" s="280"/>
    </row>
    <row r="696" spans="12:12" ht="13.5" customHeight="1">
      <c r="L696" s="280"/>
    </row>
    <row r="697" spans="12:12" ht="13.5" customHeight="1">
      <c r="L697" s="280"/>
    </row>
    <row r="698" spans="12:12" ht="13.5" customHeight="1">
      <c r="L698" s="280"/>
    </row>
    <row r="699" spans="12:12" ht="13.5" customHeight="1">
      <c r="L699" s="280"/>
    </row>
    <row r="700" spans="12:12" ht="13.5" customHeight="1">
      <c r="L700" s="280"/>
    </row>
    <row r="701" spans="12:12" ht="13.5" customHeight="1">
      <c r="L701" s="280"/>
    </row>
    <row r="702" spans="12:12" ht="13.5" customHeight="1">
      <c r="L702" s="280"/>
    </row>
    <row r="703" spans="12:12" ht="13.5" customHeight="1">
      <c r="L703" s="280"/>
    </row>
    <row r="704" spans="12:12" ht="13.5" customHeight="1">
      <c r="L704" s="280"/>
    </row>
    <row r="705" spans="12:12" ht="13.5" customHeight="1">
      <c r="L705" s="280"/>
    </row>
    <row r="706" spans="12:12" ht="13.5" customHeight="1">
      <c r="L706" s="280"/>
    </row>
    <row r="707" spans="12:12" ht="13.5" customHeight="1">
      <c r="L707" s="280"/>
    </row>
    <row r="708" spans="12:12" ht="13.5" customHeight="1">
      <c r="L708" s="280"/>
    </row>
    <row r="709" spans="12:12" ht="13.5" customHeight="1">
      <c r="L709" s="280"/>
    </row>
    <row r="710" spans="12:12" ht="13.5" customHeight="1">
      <c r="L710" s="280"/>
    </row>
    <row r="711" spans="12:12" ht="13.5" customHeight="1">
      <c r="L711" s="280"/>
    </row>
    <row r="712" spans="12:12" ht="13.5" customHeight="1">
      <c r="L712" s="280"/>
    </row>
    <row r="713" spans="12:12" ht="13.5" customHeight="1">
      <c r="L713" s="280"/>
    </row>
    <row r="714" spans="12:12" ht="13.5" customHeight="1">
      <c r="L714" s="280"/>
    </row>
    <row r="715" spans="12:12" ht="13.5" customHeight="1">
      <c r="L715" s="280"/>
    </row>
    <row r="716" spans="12:12" ht="13.5" customHeight="1">
      <c r="L716" s="280"/>
    </row>
    <row r="717" spans="12:12" ht="13.5" customHeight="1">
      <c r="L717" s="280"/>
    </row>
    <row r="718" spans="12:12" ht="13.5" customHeight="1">
      <c r="L718" s="280"/>
    </row>
    <row r="719" spans="12:12" ht="13.5" customHeight="1">
      <c r="L719" s="280"/>
    </row>
    <row r="720" spans="12:12" ht="13.5" customHeight="1">
      <c r="L720" s="280"/>
    </row>
    <row r="721" spans="12:12" ht="13.5" customHeight="1">
      <c r="L721" s="280"/>
    </row>
    <row r="722" spans="12:12" ht="13.5" customHeight="1">
      <c r="L722" s="280"/>
    </row>
    <row r="723" spans="12:12" ht="13.5" customHeight="1">
      <c r="L723" s="280"/>
    </row>
    <row r="724" spans="12:12" ht="13.5" customHeight="1">
      <c r="L724" s="280"/>
    </row>
    <row r="725" spans="12:12" ht="13.5" customHeight="1">
      <c r="L725" s="280"/>
    </row>
    <row r="726" spans="12:12" ht="13.5" customHeight="1">
      <c r="L726" s="280"/>
    </row>
    <row r="727" spans="12:12" ht="13.5" customHeight="1">
      <c r="L727" s="280"/>
    </row>
    <row r="728" spans="12:12" ht="13.5" customHeight="1">
      <c r="L728" s="280"/>
    </row>
    <row r="729" spans="12:12" ht="13.5" customHeight="1">
      <c r="L729" s="280"/>
    </row>
    <row r="730" spans="12:12" ht="13.5" customHeight="1">
      <c r="L730" s="280"/>
    </row>
    <row r="731" spans="12:12" ht="13.5" customHeight="1">
      <c r="L731" s="280"/>
    </row>
    <row r="732" spans="12:12" ht="13.5" customHeight="1">
      <c r="L732" s="280"/>
    </row>
    <row r="733" spans="12:12" ht="13.5" customHeight="1">
      <c r="L733" s="280"/>
    </row>
    <row r="734" spans="12:12" ht="13.5" customHeight="1">
      <c r="L734" s="280"/>
    </row>
    <row r="735" spans="12:12" ht="13.5" customHeight="1">
      <c r="L735" s="280"/>
    </row>
    <row r="736" spans="12:12" ht="13.5" customHeight="1">
      <c r="L736" s="280"/>
    </row>
    <row r="737" spans="12:12" ht="13.5" customHeight="1">
      <c r="L737" s="280"/>
    </row>
    <row r="738" spans="12:12" ht="13.5" customHeight="1">
      <c r="L738" s="280"/>
    </row>
    <row r="739" spans="12:12" ht="13.5" customHeight="1">
      <c r="L739" s="280"/>
    </row>
    <row r="740" spans="12:12" ht="13.5" customHeight="1">
      <c r="L740" s="280"/>
    </row>
    <row r="741" spans="12:12" ht="13.5" customHeight="1">
      <c r="L741" s="280"/>
    </row>
    <row r="742" spans="12:12" ht="13.5" customHeight="1">
      <c r="L742" s="280"/>
    </row>
    <row r="743" spans="12:12" ht="13.5" customHeight="1">
      <c r="L743" s="280"/>
    </row>
    <row r="744" spans="12:12" ht="13.5" customHeight="1">
      <c r="L744" s="280"/>
    </row>
    <row r="745" spans="12:12" ht="13.5" customHeight="1">
      <c r="L745" s="280"/>
    </row>
    <row r="746" spans="12:12" ht="13.5" customHeight="1">
      <c r="L746" s="280"/>
    </row>
    <row r="747" spans="12:12" ht="13.5" customHeight="1">
      <c r="L747" s="280"/>
    </row>
    <row r="748" spans="12:12" ht="13.5" customHeight="1">
      <c r="L748" s="280"/>
    </row>
    <row r="749" spans="12:12" ht="13.5" customHeight="1">
      <c r="L749" s="280"/>
    </row>
    <row r="750" spans="12:12" ht="13.5" customHeight="1">
      <c r="L750" s="280"/>
    </row>
    <row r="751" spans="12:12" ht="13.5" customHeight="1">
      <c r="L751" s="280"/>
    </row>
    <row r="752" spans="12:12" ht="13.5" customHeight="1">
      <c r="L752" s="280"/>
    </row>
    <row r="753" spans="12:12" ht="13.5" customHeight="1">
      <c r="L753" s="280"/>
    </row>
    <row r="754" spans="12:12" ht="13.5" customHeight="1">
      <c r="L754" s="280"/>
    </row>
    <row r="755" spans="12:12" ht="13.5" customHeight="1">
      <c r="L755" s="280"/>
    </row>
    <row r="756" spans="12:12" ht="13.5" customHeight="1">
      <c r="L756" s="280"/>
    </row>
    <row r="757" spans="12:12" ht="13.5" customHeight="1">
      <c r="L757" s="280"/>
    </row>
    <row r="758" spans="12:12" ht="13.5" customHeight="1">
      <c r="L758" s="280"/>
    </row>
    <row r="759" spans="12:12" ht="13.5" customHeight="1">
      <c r="L759" s="280"/>
    </row>
    <row r="760" spans="12:12" ht="13.5" customHeight="1">
      <c r="L760" s="280"/>
    </row>
    <row r="761" spans="12:12" ht="13.5" customHeight="1">
      <c r="L761" s="280"/>
    </row>
    <row r="762" spans="12:12" ht="13.5" customHeight="1">
      <c r="L762" s="280"/>
    </row>
    <row r="763" spans="12:12" ht="13.5" customHeight="1">
      <c r="L763" s="280"/>
    </row>
    <row r="764" spans="12:12" ht="13.5" customHeight="1">
      <c r="L764" s="280"/>
    </row>
    <row r="765" spans="12:12" ht="13.5" customHeight="1">
      <c r="L765" s="280"/>
    </row>
    <row r="766" spans="12:12" ht="13.5" customHeight="1">
      <c r="L766" s="280"/>
    </row>
    <row r="767" spans="12:12" ht="13.5" customHeight="1">
      <c r="L767" s="280"/>
    </row>
    <row r="768" spans="12:12" ht="13.5" customHeight="1">
      <c r="L768" s="280"/>
    </row>
    <row r="769" spans="12:12" ht="13.5" customHeight="1">
      <c r="L769" s="280"/>
    </row>
    <row r="770" spans="12:12" ht="13.5" customHeight="1">
      <c r="L770" s="280"/>
    </row>
    <row r="771" spans="12:12" ht="13.5" customHeight="1">
      <c r="L771" s="280"/>
    </row>
    <row r="772" spans="12:12" ht="13.5" customHeight="1">
      <c r="L772" s="280"/>
    </row>
    <row r="773" spans="12:12" ht="13.5" customHeight="1">
      <c r="L773" s="280"/>
    </row>
    <row r="774" spans="12:12" ht="13.5" customHeight="1">
      <c r="L774" s="280"/>
    </row>
    <row r="775" spans="12:12" ht="13.5" customHeight="1">
      <c r="L775" s="280"/>
    </row>
    <row r="776" spans="12:12" ht="13.5" customHeight="1">
      <c r="L776" s="280"/>
    </row>
    <row r="777" spans="12:12" ht="13.5" customHeight="1">
      <c r="L777" s="280"/>
    </row>
    <row r="778" spans="12:12" ht="13.5" customHeight="1">
      <c r="L778" s="280"/>
    </row>
    <row r="779" spans="12:12" ht="13.5" customHeight="1">
      <c r="L779" s="280"/>
    </row>
    <row r="780" spans="12:12" ht="13.5" customHeight="1">
      <c r="L780" s="280"/>
    </row>
    <row r="781" spans="12:12" ht="13.5" customHeight="1">
      <c r="L781" s="280"/>
    </row>
    <row r="782" spans="12:12" ht="13.5" customHeight="1">
      <c r="L782" s="280"/>
    </row>
    <row r="783" spans="12:12" ht="13.5" customHeight="1">
      <c r="L783" s="280"/>
    </row>
    <row r="784" spans="12:12" ht="13.5" customHeight="1">
      <c r="L784" s="280"/>
    </row>
    <row r="785" spans="12:12" ht="13.5" customHeight="1">
      <c r="L785" s="280"/>
    </row>
    <row r="786" spans="12:12" ht="13.5" customHeight="1">
      <c r="L786" s="280"/>
    </row>
    <row r="787" spans="12:12" ht="13.5" customHeight="1">
      <c r="L787" s="280"/>
    </row>
    <row r="788" spans="12:12" ht="13.5" customHeight="1">
      <c r="L788" s="280"/>
    </row>
    <row r="789" spans="12:12" ht="13.5" customHeight="1">
      <c r="L789" s="280"/>
    </row>
    <row r="790" spans="12:12" ht="13.5" customHeight="1">
      <c r="L790" s="280"/>
    </row>
    <row r="791" spans="12:12" ht="13.5" customHeight="1">
      <c r="L791" s="280"/>
    </row>
    <row r="792" spans="12:12" ht="13.5" customHeight="1">
      <c r="L792" s="280"/>
    </row>
    <row r="793" spans="12:12" ht="13.5" customHeight="1">
      <c r="L793" s="280"/>
    </row>
    <row r="794" spans="12:12" ht="13.5" customHeight="1">
      <c r="L794" s="280"/>
    </row>
    <row r="795" spans="12:12" ht="13.5" customHeight="1">
      <c r="L795" s="280"/>
    </row>
    <row r="796" spans="12:12" ht="13.5" customHeight="1">
      <c r="L796" s="280"/>
    </row>
    <row r="797" spans="12:12" ht="13.5" customHeight="1">
      <c r="L797" s="280"/>
    </row>
    <row r="798" spans="12:12" ht="13.5" customHeight="1">
      <c r="L798" s="280"/>
    </row>
    <row r="799" spans="12:12" ht="13.5" customHeight="1">
      <c r="L799" s="280"/>
    </row>
    <row r="800" spans="12:12" ht="13.5" customHeight="1">
      <c r="L800" s="280"/>
    </row>
    <row r="801" spans="12:12" ht="13.5" customHeight="1">
      <c r="L801" s="280"/>
    </row>
    <row r="802" spans="12:12" ht="13.5" customHeight="1">
      <c r="L802" s="280"/>
    </row>
    <row r="803" spans="12:12" ht="13.5" customHeight="1">
      <c r="L803" s="280"/>
    </row>
    <row r="804" spans="12:12" ht="13.5" customHeight="1">
      <c r="L804" s="280"/>
    </row>
    <row r="805" spans="12:12" ht="13.5" customHeight="1">
      <c r="L805" s="280"/>
    </row>
    <row r="806" spans="12:12" ht="13.5" customHeight="1">
      <c r="L806" s="280"/>
    </row>
    <row r="807" spans="12:12" ht="13.5" customHeight="1">
      <c r="L807" s="280"/>
    </row>
    <row r="808" spans="12:12" ht="13.5" customHeight="1">
      <c r="L808" s="280"/>
    </row>
    <row r="809" spans="12:12" ht="13.5" customHeight="1">
      <c r="L809" s="280"/>
    </row>
    <row r="810" spans="12:12" ht="13.5" customHeight="1">
      <c r="L810" s="280"/>
    </row>
    <row r="811" spans="12:12" ht="13.5" customHeight="1">
      <c r="L811" s="280"/>
    </row>
    <row r="812" spans="12:12" ht="13.5" customHeight="1">
      <c r="L812" s="280"/>
    </row>
    <row r="813" spans="12:12" ht="13.5" customHeight="1">
      <c r="L813" s="280"/>
    </row>
    <row r="814" spans="12:12" ht="13.5" customHeight="1">
      <c r="L814" s="280"/>
    </row>
    <row r="815" spans="12:12" ht="13.5" customHeight="1">
      <c r="L815" s="280"/>
    </row>
    <row r="816" spans="12:12" ht="13.5" customHeight="1">
      <c r="L816" s="280"/>
    </row>
    <row r="817" spans="12:12" ht="13.5" customHeight="1">
      <c r="L817" s="280"/>
    </row>
    <row r="818" spans="12:12" ht="13.5" customHeight="1">
      <c r="L818" s="280"/>
    </row>
    <row r="819" spans="12:12" ht="13.5" customHeight="1">
      <c r="L819" s="280"/>
    </row>
    <row r="820" spans="12:12" ht="13.5" customHeight="1">
      <c r="L820" s="280"/>
    </row>
    <row r="821" spans="12:12" ht="13.5" customHeight="1">
      <c r="L821" s="280"/>
    </row>
    <row r="822" spans="12:12" ht="13.5" customHeight="1">
      <c r="L822" s="280"/>
    </row>
    <row r="823" spans="12:12" ht="13.5" customHeight="1">
      <c r="L823" s="280"/>
    </row>
    <row r="824" spans="12:12" ht="13.5" customHeight="1">
      <c r="L824" s="280"/>
    </row>
    <row r="825" spans="12:12" ht="13.5" customHeight="1">
      <c r="L825" s="280"/>
    </row>
    <row r="826" spans="12:12" ht="13.5" customHeight="1">
      <c r="L826" s="280"/>
    </row>
    <row r="827" spans="12:12" ht="13.5" customHeight="1">
      <c r="L827" s="280"/>
    </row>
    <row r="828" spans="12:12" ht="13.5" customHeight="1">
      <c r="L828" s="280"/>
    </row>
    <row r="829" spans="12:12" ht="13.5" customHeight="1">
      <c r="L829" s="280"/>
    </row>
    <row r="830" spans="12:12" ht="13.5" customHeight="1">
      <c r="L830" s="280"/>
    </row>
    <row r="831" spans="12:12" ht="13.5" customHeight="1">
      <c r="L831" s="280"/>
    </row>
    <row r="832" spans="12:12" ht="13.5" customHeight="1">
      <c r="L832" s="280"/>
    </row>
    <row r="833" spans="12:12" ht="13.5" customHeight="1">
      <c r="L833" s="280"/>
    </row>
    <row r="834" spans="12:12" ht="13.5" customHeight="1">
      <c r="L834" s="280"/>
    </row>
    <row r="835" spans="12:12" ht="13.5" customHeight="1">
      <c r="L835" s="280"/>
    </row>
    <row r="836" spans="12:12" ht="13.5" customHeight="1">
      <c r="L836" s="280"/>
    </row>
    <row r="837" spans="12:12" ht="13.5" customHeight="1">
      <c r="L837" s="280"/>
    </row>
    <row r="838" spans="12:12" ht="13.5" customHeight="1">
      <c r="L838" s="280"/>
    </row>
    <row r="839" spans="12:12" ht="13.5" customHeight="1">
      <c r="L839" s="280"/>
    </row>
    <row r="840" spans="12:12" ht="13.5" customHeight="1">
      <c r="L840" s="280"/>
    </row>
    <row r="841" spans="12:12" ht="13.5" customHeight="1">
      <c r="L841" s="280"/>
    </row>
    <row r="842" spans="12:12" ht="13.5" customHeight="1">
      <c r="L842" s="280"/>
    </row>
    <row r="843" spans="12:12" ht="13.5" customHeight="1">
      <c r="L843" s="280"/>
    </row>
    <row r="844" spans="12:12" ht="13.5" customHeight="1">
      <c r="L844" s="280"/>
    </row>
    <row r="845" spans="12:12" ht="13.5" customHeight="1">
      <c r="L845" s="280"/>
    </row>
    <row r="846" spans="12:12" ht="13.5" customHeight="1">
      <c r="L846" s="280"/>
    </row>
    <row r="847" spans="12:12" ht="13.5" customHeight="1">
      <c r="L847" s="280"/>
    </row>
    <row r="848" spans="12:12" ht="13.5" customHeight="1">
      <c r="L848" s="280"/>
    </row>
    <row r="849" spans="12:12" ht="13.5" customHeight="1">
      <c r="L849" s="280"/>
    </row>
    <row r="850" spans="12:12" ht="13.5" customHeight="1">
      <c r="L850" s="280"/>
    </row>
    <row r="851" spans="12:12" ht="13.5" customHeight="1">
      <c r="L851" s="280"/>
    </row>
    <row r="852" spans="12:12" ht="13.5" customHeight="1">
      <c r="L852" s="280"/>
    </row>
    <row r="853" spans="12:12" ht="13.5" customHeight="1">
      <c r="L853" s="280"/>
    </row>
    <row r="854" spans="12:12" ht="13.5" customHeight="1">
      <c r="L854" s="280"/>
    </row>
    <row r="855" spans="12:12" ht="13.5" customHeight="1">
      <c r="L855" s="280"/>
    </row>
    <row r="856" spans="12:12" ht="13.5" customHeight="1">
      <c r="L856" s="280"/>
    </row>
    <row r="857" spans="12:12" ht="13.5" customHeight="1">
      <c r="L857" s="280"/>
    </row>
    <row r="858" spans="12:12" ht="13.5" customHeight="1">
      <c r="L858" s="280"/>
    </row>
    <row r="859" spans="12:12" ht="13.5" customHeight="1">
      <c r="L859" s="280"/>
    </row>
    <row r="860" spans="12:12" ht="13.5" customHeight="1">
      <c r="L860" s="280"/>
    </row>
    <row r="861" spans="12:12" ht="13.5" customHeight="1">
      <c r="L861" s="280"/>
    </row>
    <row r="862" spans="12:12" ht="13.5" customHeight="1">
      <c r="L862" s="280"/>
    </row>
    <row r="863" spans="12:12" ht="13.5" customHeight="1">
      <c r="L863" s="280"/>
    </row>
    <row r="864" spans="12:12" ht="13.5" customHeight="1">
      <c r="L864" s="280"/>
    </row>
    <row r="865" spans="12:12" ht="13.5" customHeight="1">
      <c r="L865" s="280"/>
    </row>
    <row r="866" spans="12:12" ht="13.5" customHeight="1">
      <c r="L866" s="280"/>
    </row>
    <row r="867" spans="12:12" ht="13.5" customHeight="1">
      <c r="L867" s="280"/>
    </row>
    <row r="868" spans="12:12" ht="13.5" customHeight="1">
      <c r="L868" s="280"/>
    </row>
    <row r="869" spans="12:12" ht="13.5" customHeight="1">
      <c r="L869" s="280"/>
    </row>
    <row r="870" spans="12:12" ht="13.5" customHeight="1">
      <c r="L870" s="280"/>
    </row>
    <row r="871" spans="12:12" ht="13.5" customHeight="1">
      <c r="L871" s="280"/>
    </row>
    <row r="872" spans="12:12" ht="13.5" customHeight="1">
      <c r="L872" s="280"/>
    </row>
    <row r="873" spans="12:12" ht="13.5" customHeight="1">
      <c r="L873" s="280"/>
    </row>
    <row r="874" spans="12:12" ht="13.5" customHeight="1">
      <c r="L874" s="280"/>
    </row>
    <row r="875" spans="12:12" ht="13.5" customHeight="1">
      <c r="L875" s="280"/>
    </row>
    <row r="876" spans="12:12" ht="13.5" customHeight="1">
      <c r="L876" s="280"/>
    </row>
    <row r="877" spans="12:12" ht="13.5" customHeight="1">
      <c r="L877" s="280"/>
    </row>
    <row r="878" spans="12:12" ht="13.5" customHeight="1">
      <c r="L878" s="280"/>
    </row>
    <row r="879" spans="12:12" ht="13.5" customHeight="1">
      <c r="L879" s="280"/>
    </row>
    <row r="880" spans="12:12" ht="13.5" customHeight="1">
      <c r="L880" s="280"/>
    </row>
    <row r="881" spans="12:12" ht="13.5" customHeight="1">
      <c r="L881" s="280"/>
    </row>
    <row r="882" spans="12:12" ht="13.5" customHeight="1">
      <c r="L882" s="280"/>
    </row>
    <row r="883" spans="12:12" ht="13.5" customHeight="1">
      <c r="L883" s="280"/>
    </row>
    <row r="884" spans="12:12" ht="13.5" customHeight="1">
      <c r="L884" s="280"/>
    </row>
    <row r="885" spans="12:12" ht="13.5" customHeight="1">
      <c r="L885" s="280"/>
    </row>
    <row r="886" spans="12:12" ht="13.5" customHeight="1">
      <c r="L886" s="280"/>
    </row>
    <row r="887" spans="12:12" ht="13.5" customHeight="1">
      <c r="L887" s="280"/>
    </row>
    <row r="888" spans="12:12" ht="13.5" customHeight="1">
      <c r="L888" s="280"/>
    </row>
    <row r="889" spans="12:12" ht="13.5" customHeight="1">
      <c r="L889" s="280"/>
    </row>
    <row r="890" spans="12:12" ht="13.5" customHeight="1">
      <c r="L890" s="280"/>
    </row>
    <row r="891" spans="12:12" ht="13.5" customHeight="1">
      <c r="L891" s="280"/>
    </row>
    <row r="892" spans="12:12" ht="13.5" customHeight="1">
      <c r="L892" s="280"/>
    </row>
    <row r="893" spans="12:12" ht="13.5" customHeight="1">
      <c r="L893" s="280"/>
    </row>
    <row r="894" spans="12:12" ht="13.5" customHeight="1">
      <c r="L894" s="280"/>
    </row>
    <row r="895" spans="12:12" ht="13.5" customHeight="1">
      <c r="L895" s="280"/>
    </row>
    <row r="896" spans="12:12" ht="13.5" customHeight="1">
      <c r="L896" s="280"/>
    </row>
    <row r="897" spans="12:12" ht="13.5" customHeight="1">
      <c r="L897" s="280"/>
    </row>
    <row r="898" spans="12:12" ht="13.5" customHeight="1">
      <c r="L898" s="280"/>
    </row>
    <row r="899" spans="12:12" ht="13.5" customHeight="1">
      <c r="L899" s="280"/>
    </row>
    <row r="900" spans="12:12" ht="13.5" customHeight="1">
      <c r="L900" s="280"/>
    </row>
    <row r="901" spans="12:12" ht="13.5" customHeight="1">
      <c r="L901" s="280"/>
    </row>
    <row r="902" spans="12:12" ht="13.5" customHeight="1">
      <c r="L902" s="280"/>
    </row>
    <row r="903" spans="12:12" ht="13.5" customHeight="1">
      <c r="L903" s="280"/>
    </row>
    <row r="904" spans="12:12" ht="13.5" customHeight="1">
      <c r="L904" s="280"/>
    </row>
    <row r="905" spans="12:12" ht="13.5" customHeight="1">
      <c r="L905" s="280"/>
    </row>
    <row r="906" spans="12:12" ht="13.5" customHeight="1">
      <c r="L906" s="280"/>
    </row>
    <row r="907" spans="12:12" ht="13.5" customHeight="1">
      <c r="L907" s="280"/>
    </row>
    <row r="908" spans="12:12" ht="13.5" customHeight="1">
      <c r="L908" s="280"/>
    </row>
    <row r="909" spans="12:12" ht="13.5" customHeight="1">
      <c r="L909" s="280"/>
    </row>
    <row r="910" spans="12:12" ht="13.5" customHeight="1">
      <c r="L910" s="280"/>
    </row>
    <row r="911" spans="12:12" ht="13.5" customHeight="1">
      <c r="L911" s="280"/>
    </row>
    <row r="912" spans="12:12" ht="13.5" customHeight="1">
      <c r="L912" s="280"/>
    </row>
    <row r="913" spans="12:12" ht="13.5" customHeight="1">
      <c r="L913" s="280"/>
    </row>
    <row r="914" spans="12:12" ht="13.5" customHeight="1">
      <c r="L914" s="280"/>
    </row>
    <row r="915" spans="12:12" ht="13.5" customHeight="1">
      <c r="L915" s="280"/>
    </row>
    <row r="916" spans="12:12" ht="13.5" customHeight="1">
      <c r="L916" s="280"/>
    </row>
    <row r="917" spans="12:12" ht="13.5" customHeight="1">
      <c r="L917" s="280"/>
    </row>
    <row r="918" spans="12:12" ht="13.5" customHeight="1">
      <c r="L918" s="280"/>
    </row>
    <row r="919" spans="12:12" ht="13.5" customHeight="1">
      <c r="L919" s="280"/>
    </row>
    <row r="920" spans="12:12" ht="13.5" customHeight="1">
      <c r="L920" s="280"/>
    </row>
    <row r="921" spans="12:12" ht="13.5" customHeight="1">
      <c r="L921" s="280"/>
    </row>
    <row r="922" spans="12:12" ht="13.5" customHeight="1">
      <c r="L922" s="280"/>
    </row>
    <row r="923" spans="12:12" ht="13.5" customHeight="1">
      <c r="L923" s="280"/>
    </row>
    <row r="924" spans="12:12" ht="13.5" customHeight="1">
      <c r="L924" s="280"/>
    </row>
    <row r="925" spans="12:12" ht="13.5" customHeight="1">
      <c r="L925" s="280"/>
    </row>
    <row r="926" spans="12:12" ht="13.5" customHeight="1">
      <c r="L926" s="280"/>
    </row>
    <row r="927" spans="12:12" ht="13.5" customHeight="1">
      <c r="L927" s="280"/>
    </row>
    <row r="928" spans="12:12" ht="13.5" customHeight="1">
      <c r="L928" s="280"/>
    </row>
    <row r="929" spans="12:12" ht="13.5" customHeight="1">
      <c r="L929" s="280"/>
    </row>
    <row r="930" spans="12:12" ht="13.5" customHeight="1">
      <c r="L930" s="280"/>
    </row>
    <row r="931" spans="12:12" ht="13.5" customHeight="1">
      <c r="L931" s="280"/>
    </row>
    <row r="932" spans="12:12" ht="13.5" customHeight="1">
      <c r="L932" s="280"/>
    </row>
    <row r="933" spans="12:12" ht="13.5" customHeight="1">
      <c r="L933" s="280"/>
    </row>
    <row r="934" spans="12:12" ht="13.5" customHeight="1">
      <c r="L934" s="280"/>
    </row>
    <row r="935" spans="12:12" ht="13.5" customHeight="1">
      <c r="L935" s="280"/>
    </row>
    <row r="936" spans="12:12" ht="13.5" customHeight="1">
      <c r="L936" s="280"/>
    </row>
    <row r="937" spans="12:12" ht="13.5" customHeight="1">
      <c r="L937" s="280"/>
    </row>
    <row r="938" spans="12:12" ht="13.5" customHeight="1">
      <c r="L938" s="280"/>
    </row>
    <row r="939" spans="12:12" ht="13.5" customHeight="1">
      <c r="L939" s="280"/>
    </row>
    <row r="940" spans="12:12" ht="13.5" customHeight="1">
      <c r="L940" s="280"/>
    </row>
    <row r="941" spans="12:12" ht="13.5" customHeight="1">
      <c r="L941" s="280"/>
    </row>
    <row r="942" spans="12:12" ht="13.5" customHeight="1">
      <c r="L942" s="280"/>
    </row>
    <row r="943" spans="12:12" ht="13.5" customHeight="1">
      <c r="L943" s="280"/>
    </row>
    <row r="944" spans="12:12" ht="13.5" customHeight="1">
      <c r="L944" s="280"/>
    </row>
    <row r="945" spans="12:12" ht="13.5" customHeight="1">
      <c r="L945" s="280"/>
    </row>
    <row r="946" spans="12:12" ht="13.5" customHeight="1">
      <c r="L946" s="280"/>
    </row>
    <row r="947" spans="12:12" ht="13.5" customHeight="1">
      <c r="L947" s="280"/>
    </row>
    <row r="948" spans="12:12" ht="13.5" customHeight="1">
      <c r="L948" s="280"/>
    </row>
    <row r="949" spans="12:12" ht="13.5" customHeight="1">
      <c r="L949" s="280"/>
    </row>
    <row r="950" spans="12:12" ht="13.5" customHeight="1">
      <c r="L950" s="280"/>
    </row>
    <row r="951" spans="12:12" ht="13.5" customHeight="1">
      <c r="L951" s="280"/>
    </row>
    <row r="952" spans="12:12" ht="13.5" customHeight="1">
      <c r="L952" s="280"/>
    </row>
    <row r="953" spans="12:12" ht="13.5" customHeight="1">
      <c r="L953" s="280"/>
    </row>
    <row r="954" spans="12:12" ht="13.5" customHeight="1">
      <c r="L954" s="280"/>
    </row>
    <row r="955" spans="12:12" ht="13.5" customHeight="1">
      <c r="L955" s="280"/>
    </row>
    <row r="956" spans="12:12" ht="13.5" customHeight="1">
      <c r="L956" s="280"/>
    </row>
    <row r="957" spans="12:12" ht="13.5" customHeight="1">
      <c r="L957" s="280"/>
    </row>
    <row r="958" spans="12:12" ht="13.5" customHeight="1">
      <c r="L958" s="280"/>
    </row>
    <row r="959" spans="12:12" ht="13.5" customHeight="1">
      <c r="L959" s="280"/>
    </row>
    <row r="960" spans="12:12" ht="13.5" customHeight="1">
      <c r="L960" s="280"/>
    </row>
    <row r="961" spans="12:12" ht="13.5" customHeight="1">
      <c r="L961" s="280"/>
    </row>
    <row r="962" spans="12:12" ht="13.5" customHeight="1">
      <c r="L962" s="280"/>
    </row>
    <row r="963" spans="12:12" ht="13.5" customHeight="1">
      <c r="L963" s="280"/>
    </row>
    <row r="964" spans="12:12" ht="13.5" customHeight="1">
      <c r="L964" s="280"/>
    </row>
    <row r="965" spans="12:12" ht="13.5" customHeight="1">
      <c r="L965" s="280"/>
    </row>
    <row r="966" spans="12:12" ht="13.5" customHeight="1">
      <c r="L966" s="280"/>
    </row>
    <row r="967" spans="12:12" ht="13.5" customHeight="1">
      <c r="L967" s="280"/>
    </row>
    <row r="968" spans="12:12" ht="13.5" customHeight="1">
      <c r="L968" s="280"/>
    </row>
    <row r="969" spans="12:12" ht="13.5" customHeight="1">
      <c r="L969" s="280"/>
    </row>
    <row r="970" spans="12:12" ht="13.5" customHeight="1">
      <c r="L970" s="280"/>
    </row>
    <row r="971" spans="12:12" ht="13.5" customHeight="1">
      <c r="L971" s="280"/>
    </row>
    <row r="972" spans="12:12" ht="13.5" customHeight="1">
      <c r="L972" s="280"/>
    </row>
    <row r="973" spans="12:12" ht="13.5" customHeight="1">
      <c r="L973" s="280"/>
    </row>
    <row r="974" spans="12:12" ht="13.5" customHeight="1">
      <c r="L974" s="280"/>
    </row>
    <row r="975" spans="12:12" ht="13.5" customHeight="1">
      <c r="L975" s="280"/>
    </row>
    <row r="976" spans="12:12" ht="13.5" customHeight="1">
      <c r="L976" s="280"/>
    </row>
    <row r="977" spans="12:12" ht="13.5" customHeight="1">
      <c r="L977" s="280"/>
    </row>
    <row r="978" spans="12:12" ht="13.5" customHeight="1">
      <c r="L978" s="280"/>
    </row>
    <row r="979" spans="12:12" ht="13.5" customHeight="1">
      <c r="L979" s="280"/>
    </row>
    <row r="980" spans="12:12" ht="13.5" customHeight="1">
      <c r="L980" s="280"/>
    </row>
    <row r="981" spans="12:12" ht="13.5" customHeight="1">
      <c r="L981" s="280"/>
    </row>
    <row r="982" spans="12:12" ht="13.5" customHeight="1">
      <c r="L982" s="280"/>
    </row>
    <row r="983" spans="12:12" ht="13.5" customHeight="1">
      <c r="L983" s="280"/>
    </row>
    <row r="984" spans="12:12" ht="13.5" customHeight="1">
      <c r="L984" s="280"/>
    </row>
    <row r="985" spans="12:12" ht="13.5" customHeight="1">
      <c r="L985" s="280"/>
    </row>
    <row r="986" spans="12:12" ht="13.5" customHeight="1">
      <c r="L986" s="280"/>
    </row>
    <row r="987" spans="12:12" ht="13.5" customHeight="1">
      <c r="L987" s="280"/>
    </row>
    <row r="988" spans="12:12" ht="13.5" customHeight="1">
      <c r="L988" s="280"/>
    </row>
    <row r="989" spans="12:12" ht="13.5" customHeight="1">
      <c r="L989" s="280"/>
    </row>
    <row r="990" spans="12:12" ht="13.5" customHeight="1">
      <c r="L990" s="280"/>
    </row>
    <row r="991" spans="12:12" ht="13.5" customHeight="1">
      <c r="L991" s="280"/>
    </row>
    <row r="992" spans="12:12" ht="13.5" customHeight="1">
      <c r="L992" s="280"/>
    </row>
    <row r="993" spans="12:12" ht="13.5" customHeight="1">
      <c r="L993" s="280"/>
    </row>
    <row r="994" spans="12:12" ht="13.5" customHeight="1">
      <c r="L994" s="280"/>
    </row>
    <row r="995" spans="12:12" ht="13.5" customHeight="1">
      <c r="L995" s="280"/>
    </row>
    <row r="996" spans="12:12" ht="13.5" customHeight="1">
      <c r="L996" s="280"/>
    </row>
    <row r="997" spans="12:12" ht="13.5" customHeight="1">
      <c r="L997" s="280"/>
    </row>
    <row r="998" spans="12:12" ht="13.5" customHeight="1">
      <c r="L998" s="280"/>
    </row>
    <row r="999" spans="12:12" ht="13.5" customHeight="1">
      <c r="L999" s="280"/>
    </row>
    <row r="1000" spans="12:12" ht="13.5" customHeight="1">
      <c r="L1000" s="280"/>
    </row>
  </sheetData>
  <mergeCells count="9">
    <mergeCell ref="A10:B10"/>
    <mergeCell ref="A12:B12"/>
    <mergeCell ref="A3:B3"/>
    <mergeCell ref="A4:B4"/>
    <mergeCell ref="A5:B5"/>
    <mergeCell ref="A6:B6"/>
    <mergeCell ref="A7:B7"/>
    <mergeCell ref="A8:B8"/>
    <mergeCell ref="A9:B9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showGridLines="0" topLeftCell="A16" workbookViewId="0">
      <selection activeCell="A11" sqref="A11"/>
    </sheetView>
  </sheetViews>
  <sheetFormatPr defaultColWidth="12.6640625" defaultRowHeight="15" customHeight="1"/>
  <cols>
    <col min="1" max="1" width="40.4140625" style="7" customWidth="1"/>
    <col min="2" max="5" width="13.4140625" style="7" customWidth="1"/>
    <col min="6" max="6" width="11.75" style="7" customWidth="1"/>
    <col min="7" max="11" width="10.75" style="7" customWidth="1"/>
    <col min="12" max="12" width="9.75" style="7" customWidth="1"/>
    <col min="13" max="26" width="8.6640625" style="7" customWidth="1"/>
    <col min="27" max="16384" width="12.6640625" style="7"/>
  </cols>
  <sheetData>
    <row r="1" spans="1:12" s="373" customFormat="1" ht="13.5" customHeight="1">
      <c r="A1" s="419" t="s">
        <v>121</v>
      </c>
      <c r="B1" s="419"/>
      <c r="C1" s="419"/>
      <c r="D1" s="419"/>
      <c r="E1" s="419"/>
      <c r="F1" s="419"/>
      <c r="G1" s="419"/>
      <c r="H1" s="419"/>
      <c r="I1" s="419"/>
      <c r="J1" s="419"/>
      <c r="K1" s="226"/>
    </row>
    <row r="2" spans="1:12" s="373" customFormat="1" ht="13.5" customHeight="1">
      <c r="A2" s="226"/>
      <c r="B2" s="420"/>
      <c r="C2" s="420"/>
      <c r="D2" s="420"/>
      <c r="E2" s="420"/>
      <c r="F2" s="226"/>
      <c r="G2" s="420"/>
      <c r="H2" s="420"/>
      <c r="I2" s="420"/>
      <c r="J2" s="420"/>
      <c r="K2" s="401" t="s">
        <v>1</v>
      </c>
    </row>
    <row r="3" spans="1:12" ht="13.5" customHeight="1">
      <c r="A3" s="263"/>
      <c r="B3" s="139" t="s">
        <v>2</v>
      </c>
      <c r="C3" s="139" t="s">
        <v>3</v>
      </c>
      <c r="D3" s="139" t="s">
        <v>4</v>
      </c>
      <c r="E3" s="139" t="s">
        <v>5</v>
      </c>
      <c r="F3" s="139" t="s">
        <v>6</v>
      </c>
      <c r="G3" s="139" t="s">
        <v>7</v>
      </c>
      <c r="H3" s="139" t="s">
        <v>8</v>
      </c>
      <c r="I3" s="139" t="s">
        <v>9</v>
      </c>
      <c r="J3" s="139" t="s">
        <v>10</v>
      </c>
      <c r="K3" s="264" t="s">
        <v>11</v>
      </c>
      <c r="L3" s="140" t="s">
        <v>12</v>
      </c>
    </row>
    <row r="4" spans="1:12" ht="13.5" customHeight="1">
      <c r="A4" s="137" t="s">
        <v>122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6"/>
    </row>
    <row r="5" spans="1:12" ht="13.5" customHeight="1">
      <c r="A5" s="66" t="s">
        <v>123</v>
      </c>
      <c r="B5" s="267">
        <v>174078.54</v>
      </c>
      <c r="C5" s="267">
        <v>223827.45</v>
      </c>
      <c r="D5" s="267">
        <v>191994.61</v>
      </c>
      <c r="E5" s="267">
        <v>185064.82</v>
      </c>
      <c r="F5" s="267">
        <v>105088.64</v>
      </c>
      <c r="G5" s="267">
        <v>122507.97</v>
      </c>
      <c r="H5" s="267">
        <v>62828.79</v>
      </c>
      <c r="I5" s="267">
        <v>52368.27</v>
      </c>
      <c r="J5" s="267">
        <v>93431.7</v>
      </c>
      <c r="K5" s="267">
        <v>102054.42364514999</v>
      </c>
      <c r="L5" s="268">
        <v>162066.368904</v>
      </c>
    </row>
    <row r="6" spans="1:12" ht="13.5" customHeight="1">
      <c r="A6" s="172" t="s">
        <v>107</v>
      </c>
      <c r="B6" s="269">
        <v>174078.54</v>
      </c>
      <c r="C6" s="269">
        <v>223827.45</v>
      </c>
      <c r="D6" s="269">
        <v>191994.61</v>
      </c>
      <c r="E6" s="269">
        <v>185064.82</v>
      </c>
      <c r="F6" s="269">
        <v>105088.64</v>
      </c>
      <c r="G6" s="269">
        <v>122507.97</v>
      </c>
      <c r="H6" s="269">
        <v>62828.79</v>
      </c>
      <c r="I6" s="269">
        <v>52368.27</v>
      </c>
      <c r="J6" s="270">
        <v>93431.7</v>
      </c>
      <c r="K6" s="269">
        <v>102054.42364514999</v>
      </c>
      <c r="L6" s="271">
        <v>162066.368904</v>
      </c>
    </row>
    <row r="7" spans="1:12" ht="13.5" customHeight="1">
      <c r="A7" s="137" t="s">
        <v>124</v>
      </c>
      <c r="B7" s="272">
        <v>692996.73</v>
      </c>
      <c r="C7" s="272">
        <v>688859</v>
      </c>
      <c r="D7" s="272">
        <v>735127.07</v>
      </c>
      <c r="E7" s="272">
        <v>674178.86</v>
      </c>
      <c r="F7" s="272">
        <v>758018.77</v>
      </c>
      <c r="G7" s="272">
        <v>923426.69</v>
      </c>
      <c r="H7" s="272">
        <v>771804.8</v>
      </c>
      <c r="I7" s="272">
        <v>594226.04</v>
      </c>
      <c r="J7" s="39">
        <v>888129.82</v>
      </c>
      <c r="K7" s="272">
        <v>1087244.2772932099</v>
      </c>
      <c r="L7" s="273">
        <f>L8+L9+L12</f>
        <v>881217.90323988418</v>
      </c>
    </row>
    <row r="8" spans="1:12" ht="13.5" customHeight="1">
      <c r="A8" s="193" t="s">
        <v>125</v>
      </c>
      <c r="B8" s="36">
        <v>29596.68</v>
      </c>
      <c r="C8" s="36">
        <v>26961.57</v>
      </c>
      <c r="D8" s="36">
        <v>27600.14</v>
      </c>
      <c r="E8" s="36">
        <v>47483</v>
      </c>
      <c r="F8" s="36">
        <v>19819.740000000002</v>
      </c>
      <c r="G8" s="36">
        <v>31320.43</v>
      </c>
      <c r="H8" s="36">
        <v>31031.15</v>
      </c>
      <c r="I8" s="185">
        <v>23083.47</v>
      </c>
      <c r="J8" s="185">
        <v>22037.21</v>
      </c>
      <c r="K8" s="36">
        <v>33320.314506933995</v>
      </c>
      <c r="L8" s="274">
        <v>46941.719662000003</v>
      </c>
    </row>
    <row r="9" spans="1:12" ht="13.5" customHeight="1">
      <c r="A9" s="137" t="s">
        <v>126</v>
      </c>
      <c r="B9" s="39">
        <v>413598.41</v>
      </c>
      <c r="C9" s="39">
        <v>554928.59</v>
      </c>
      <c r="D9" s="39">
        <v>533128.22</v>
      </c>
      <c r="E9" s="39">
        <v>559323.06000000006</v>
      </c>
      <c r="F9" s="39">
        <v>811477.04</v>
      </c>
      <c r="G9" s="39">
        <v>986897.08</v>
      </c>
      <c r="H9" s="39">
        <v>858161.07</v>
      </c>
      <c r="I9" s="39">
        <v>512048.83</v>
      </c>
      <c r="J9" s="39">
        <v>842945.57</v>
      </c>
      <c r="K9" s="39">
        <v>628191.40317345597</v>
      </c>
      <c r="L9" s="275">
        <f>L10+L11</f>
        <v>744232.7596504899</v>
      </c>
    </row>
    <row r="10" spans="1:12" ht="13.5" customHeight="1">
      <c r="A10" s="188" t="s">
        <v>127</v>
      </c>
      <c r="B10" s="36">
        <v>304985.5</v>
      </c>
      <c r="C10" s="36">
        <v>385744.64000000001</v>
      </c>
      <c r="D10" s="36">
        <v>354977</v>
      </c>
      <c r="E10" s="36">
        <v>321464</v>
      </c>
      <c r="F10" s="36">
        <v>340431.33</v>
      </c>
      <c r="G10" s="36">
        <v>323309.58</v>
      </c>
      <c r="H10" s="36">
        <v>142523.87</v>
      </c>
      <c r="I10" s="36">
        <v>310758.78999999998</v>
      </c>
      <c r="J10" s="36">
        <v>222748.69</v>
      </c>
      <c r="K10" s="36">
        <v>179738.49329407298</v>
      </c>
      <c r="L10" s="274">
        <v>287440.28281899996</v>
      </c>
    </row>
    <row r="11" spans="1:12" ht="13.5" customHeight="1">
      <c r="A11" s="196" t="s">
        <v>128</v>
      </c>
      <c r="B11" s="184">
        <v>108612.91</v>
      </c>
      <c r="C11" s="184">
        <v>169183.95</v>
      </c>
      <c r="D11" s="184">
        <v>178151.22</v>
      </c>
      <c r="E11" s="184">
        <v>237859.06</v>
      </c>
      <c r="F11" s="184">
        <v>471045.71</v>
      </c>
      <c r="G11" s="184">
        <v>663587.5</v>
      </c>
      <c r="H11" s="184">
        <v>715637.2</v>
      </c>
      <c r="I11" s="184">
        <v>201290.04</v>
      </c>
      <c r="J11" s="184">
        <v>620196.88</v>
      </c>
      <c r="K11" s="184">
        <v>448452.90987938299</v>
      </c>
      <c r="L11" s="276">
        <v>456792.47683148994</v>
      </c>
    </row>
    <row r="12" spans="1:12" ht="13.5" customHeight="1">
      <c r="A12" s="262" t="s">
        <v>129</v>
      </c>
      <c r="B12" s="277">
        <v>249801.64</v>
      </c>
      <c r="C12" s="277">
        <v>106968.84</v>
      </c>
      <c r="D12" s="277">
        <v>174398.71</v>
      </c>
      <c r="E12" s="277">
        <v>67372.800000000003</v>
      </c>
      <c r="F12" s="277">
        <v>-73278.02</v>
      </c>
      <c r="G12" s="277">
        <v>-94790.83</v>
      </c>
      <c r="H12" s="277">
        <v>-117387.42</v>
      </c>
      <c r="I12" s="277">
        <v>59093.73</v>
      </c>
      <c r="J12" s="277">
        <v>23147.040000000001</v>
      </c>
      <c r="K12" s="277">
        <v>425732.55961281998</v>
      </c>
      <c r="L12" s="275">
        <v>90043.423927394295</v>
      </c>
    </row>
    <row r="13" spans="1:12" ht="13.5" customHeight="1">
      <c r="A13" s="196" t="s">
        <v>130</v>
      </c>
      <c r="B13" s="184">
        <v>242092.15</v>
      </c>
      <c r="C13" s="184">
        <v>151172.51</v>
      </c>
      <c r="D13" s="184">
        <v>117549.48</v>
      </c>
      <c r="E13" s="184">
        <v>70965.05</v>
      </c>
      <c r="F13" s="184">
        <v>-61689.78</v>
      </c>
      <c r="G13" s="184">
        <v>-107298.34</v>
      </c>
      <c r="H13" s="184">
        <v>-127201.87</v>
      </c>
      <c r="I13" s="184">
        <v>47548.84</v>
      </c>
      <c r="J13" s="184">
        <v>-24747.21</v>
      </c>
      <c r="K13" s="184">
        <v>391185.68514665001</v>
      </c>
      <c r="L13" s="276">
        <v>96992.232965194285</v>
      </c>
    </row>
    <row r="14" spans="1:12" ht="13.5" customHeight="1">
      <c r="A14" s="196" t="s">
        <v>131</v>
      </c>
      <c r="B14" s="184">
        <v>7709.49</v>
      </c>
      <c r="C14" s="184">
        <v>-44203.67</v>
      </c>
      <c r="D14" s="184">
        <v>56849.24</v>
      </c>
      <c r="E14" s="184">
        <v>-3592.25</v>
      </c>
      <c r="F14" s="184">
        <v>-11588.24</v>
      </c>
      <c r="G14" s="184">
        <v>12507.51</v>
      </c>
      <c r="H14" s="184">
        <v>9814.4500000000007</v>
      </c>
      <c r="I14" s="184">
        <v>11544.89</v>
      </c>
      <c r="J14" s="184">
        <v>47894.25</v>
      </c>
      <c r="K14" s="184">
        <v>34546.874466170048</v>
      </c>
      <c r="L14" s="276">
        <v>-6948.8090377999906</v>
      </c>
    </row>
    <row r="15" spans="1:12" ht="13.5" customHeight="1">
      <c r="A15" s="278" t="s">
        <v>481</v>
      </c>
      <c r="B15" s="267">
        <v>-518918.19</v>
      </c>
      <c r="C15" s="267">
        <v>-465031.55</v>
      </c>
      <c r="D15" s="267">
        <v>-543132.46</v>
      </c>
      <c r="E15" s="267">
        <v>-489114.04</v>
      </c>
      <c r="F15" s="267">
        <v>-652930.13</v>
      </c>
      <c r="G15" s="267">
        <v>-800918.72</v>
      </c>
      <c r="H15" s="267">
        <v>-708976.01</v>
      </c>
      <c r="I15" s="267">
        <v>-541857.77</v>
      </c>
      <c r="J15" s="267">
        <v>-794698.11</v>
      </c>
      <c r="K15" s="267">
        <v>-985189.85364805989</v>
      </c>
      <c r="L15" s="268">
        <v>-719151.53433588403</v>
      </c>
    </row>
    <row r="16" spans="1:12" ht="13.5" customHeight="1">
      <c r="A16" s="172" t="s">
        <v>107</v>
      </c>
      <c r="B16" s="269">
        <v>174078.54</v>
      </c>
      <c r="C16" s="269">
        <v>223827.45</v>
      </c>
      <c r="D16" s="269">
        <v>191994.61</v>
      </c>
      <c r="E16" s="269">
        <v>185064.82</v>
      </c>
      <c r="F16" s="269">
        <v>105088.64</v>
      </c>
      <c r="G16" s="269">
        <v>122507.97</v>
      </c>
      <c r="H16" s="269">
        <v>62828.79</v>
      </c>
      <c r="I16" s="269">
        <v>52368.27</v>
      </c>
      <c r="J16" s="269">
        <v>93431.7</v>
      </c>
      <c r="K16" s="269">
        <v>102054.42364515003</v>
      </c>
      <c r="L16" s="271">
        <v>162066.368904</v>
      </c>
    </row>
    <row r="17" spans="1:10" s="390" customFormat="1" ht="13.5" customHeight="1">
      <c r="A17" s="376" t="s">
        <v>493</v>
      </c>
      <c r="B17" s="421"/>
      <c r="C17" s="421"/>
      <c r="D17" s="421"/>
      <c r="E17" s="421"/>
      <c r="F17" s="421"/>
      <c r="G17" s="378"/>
      <c r="H17" s="378"/>
      <c r="I17" s="378"/>
      <c r="J17" s="378"/>
    </row>
    <row r="18" spans="1:10" s="390" customFormat="1" ht="13.5" customHeight="1">
      <c r="A18" s="376" t="s">
        <v>29</v>
      </c>
      <c r="B18" s="408"/>
      <c r="C18" s="408"/>
      <c r="D18" s="408"/>
      <c r="E18" s="408"/>
      <c r="F18" s="408"/>
      <c r="G18" s="387"/>
      <c r="H18" s="387"/>
      <c r="I18" s="387"/>
      <c r="J18" s="387"/>
    </row>
    <row r="19" spans="1:10" s="390" customFormat="1" ht="13.5" customHeight="1">
      <c r="A19" s="387" t="s">
        <v>132</v>
      </c>
      <c r="C19" s="408"/>
      <c r="D19" s="408"/>
      <c r="E19" s="408"/>
      <c r="F19" s="408"/>
    </row>
    <row r="20" spans="1:10" ht="13.5" customHeight="1">
      <c r="C20" s="136"/>
      <c r="D20" s="136"/>
      <c r="E20" s="136"/>
      <c r="F20" s="136"/>
    </row>
    <row r="21" spans="1:10" ht="13.5" customHeight="1"/>
    <row r="22" spans="1:10" ht="13.5" customHeight="1"/>
    <row r="23" spans="1:10" ht="13.5" customHeight="1"/>
    <row r="24" spans="1:10" ht="13.5" customHeight="1"/>
    <row r="25" spans="1:10" ht="13.5" customHeight="1"/>
    <row r="26" spans="1:10" ht="13.5" customHeight="1"/>
    <row r="27" spans="1:10" ht="13.5" customHeight="1"/>
    <row r="28" spans="1:10" ht="13.5" customHeight="1"/>
    <row r="29" spans="1:10" ht="13.5" customHeight="1"/>
    <row r="30" spans="1:10" ht="13.5" customHeight="1"/>
    <row r="31" spans="1:10" ht="13.5" customHeight="1"/>
    <row r="32" spans="1:10" ht="13.5" customHeight="1"/>
    <row r="33" s="7" customFormat="1" ht="13.5" customHeight="1"/>
    <row r="34" s="7" customFormat="1" ht="13.5" customHeight="1"/>
    <row r="35" s="7" customFormat="1" ht="13.5" customHeight="1"/>
    <row r="36" s="7" customFormat="1" ht="13.5" customHeight="1"/>
    <row r="37" s="7" customFormat="1" ht="13.5" customHeight="1"/>
    <row r="38" s="7" customFormat="1" ht="13.5" customHeight="1"/>
    <row r="39" s="7" customFormat="1" ht="13.5" customHeight="1"/>
    <row r="40" s="7" customFormat="1" ht="13.5" customHeight="1"/>
    <row r="41" s="7" customFormat="1" ht="13.5" customHeight="1"/>
    <row r="42" s="7" customFormat="1" ht="13.5" customHeight="1"/>
    <row r="43" s="7" customFormat="1" ht="13.5" customHeight="1"/>
    <row r="44" s="7" customFormat="1" ht="13.5" customHeight="1"/>
    <row r="45" s="7" customFormat="1" ht="13.5" customHeight="1"/>
    <row r="46" s="7" customFormat="1" ht="13.5" customHeight="1"/>
    <row r="47" s="7" customFormat="1" ht="13.5" customHeight="1"/>
    <row r="48" s="7" customFormat="1" ht="13.5" customHeight="1"/>
    <row r="49" s="7" customFormat="1" ht="13.5" customHeight="1"/>
    <row r="50" s="7" customFormat="1" ht="13.5" customHeight="1"/>
    <row r="51" s="7" customFormat="1" ht="13.5" customHeight="1"/>
    <row r="52" s="7" customFormat="1" ht="13.5" customHeight="1"/>
    <row r="53" s="7" customFormat="1" ht="13.5" customHeight="1"/>
    <row r="54" s="7" customFormat="1" ht="13.5" customHeight="1"/>
    <row r="55" s="7" customFormat="1" ht="13.5" customHeight="1"/>
    <row r="56" s="7" customFormat="1" ht="13.5" customHeight="1"/>
    <row r="57" s="7" customFormat="1" ht="13.5" customHeight="1"/>
    <row r="58" s="7" customFormat="1" ht="13.5" customHeight="1"/>
    <row r="59" s="7" customFormat="1" ht="13.5" customHeight="1"/>
    <row r="60" s="7" customFormat="1" ht="13.5" customHeight="1"/>
    <row r="61" s="7" customFormat="1" ht="13.5" customHeight="1"/>
    <row r="62" s="7" customFormat="1" ht="13.5" customHeight="1"/>
    <row r="63" s="7" customFormat="1" ht="13.5" customHeight="1"/>
    <row r="64" s="7" customFormat="1" ht="13.5" customHeight="1"/>
    <row r="65" s="7" customFormat="1" ht="13.5" customHeight="1"/>
    <row r="66" s="7" customFormat="1" ht="13.5" customHeight="1"/>
    <row r="67" s="7" customFormat="1" ht="13.5" customHeight="1"/>
    <row r="68" s="7" customFormat="1" ht="13.5" customHeight="1"/>
    <row r="69" s="7" customFormat="1" ht="13.5" customHeight="1"/>
    <row r="70" s="7" customFormat="1" ht="13.5" customHeight="1"/>
    <row r="71" s="7" customFormat="1" ht="13.5" customHeight="1"/>
    <row r="72" s="7" customFormat="1" ht="13.5" customHeight="1"/>
    <row r="73" s="7" customFormat="1" ht="13.5" customHeight="1"/>
    <row r="74" s="7" customFormat="1" ht="13.5" customHeight="1"/>
    <row r="75" s="7" customFormat="1" ht="13.5" customHeight="1"/>
    <row r="76" s="7" customFormat="1" ht="13.5" customHeight="1"/>
    <row r="77" s="7" customFormat="1" ht="13.5" customHeight="1"/>
    <row r="78" s="7" customFormat="1" ht="13.5" customHeight="1"/>
    <row r="79" s="7" customFormat="1" ht="13.5" customHeight="1"/>
    <row r="80" s="7" customFormat="1" ht="13.5" customHeight="1"/>
    <row r="81" s="7" customFormat="1" ht="13.5" customHeight="1"/>
    <row r="82" s="7" customFormat="1" ht="13.5" customHeight="1"/>
    <row r="83" s="7" customFormat="1" ht="13.5" customHeight="1"/>
    <row r="84" s="7" customFormat="1" ht="13.5" customHeight="1"/>
    <row r="85" s="7" customFormat="1" ht="13.5" customHeight="1"/>
    <row r="86" s="7" customFormat="1" ht="13.5" customHeight="1"/>
    <row r="87" s="7" customFormat="1" ht="13.5" customHeight="1"/>
    <row r="88" s="7" customFormat="1" ht="13.5" customHeight="1"/>
    <row r="89" s="7" customFormat="1" ht="13.5" customHeight="1"/>
    <row r="90" s="7" customFormat="1" ht="13.5" customHeight="1"/>
    <row r="91" s="7" customFormat="1" ht="13.5" customHeight="1"/>
    <row r="92" s="7" customFormat="1" ht="13.5" customHeight="1"/>
    <row r="93" s="7" customFormat="1" ht="13.5" customHeight="1"/>
    <row r="94" s="7" customFormat="1" ht="13.5" customHeight="1"/>
    <row r="95" s="7" customFormat="1" ht="13.5" customHeight="1"/>
    <row r="96" s="7" customFormat="1" ht="13.5" customHeight="1"/>
    <row r="97" s="7" customFormat="1" ht="13.5" customHeight="1"/>
    <row r="98" s="7" customFormat="1" ht="13.5" customHeight="1"/>
    <row r="99" s="7" customFormat="1" ht="13.5" customHeight="1"/>
    <row r="100" s="7" customFormat="1" ht="13.5" customHeight="1"/>
    <row r="101" s="7" customFormat="1" ht="13.5" customHeight="1"/>
    <row r="102" s="7" customFormat="1" ht="13.5" customHeight="1"/>
    <row r="103" s="7" customFormat="1" ht="13.5" customHeight="1"/>
    <row r="104" s="7" customFormat="1" ht="13.5" customHeight="1"/>
    <row r="105" s="7" customFormat="1" ht="13.5" customHeight="1"/>
    <row r="106" s="7" customFormat="1" ht="13.5" customHeight="1"/>
    <row r="107" s="7" customFormat="1" ht="13.5" customHeight="1"/>
    <row r="108" s="7" customFormat="1" ht="13.5" customHeight="1"/>
    <row r="109" s="7" customFormat="1" ht="13.5" customHeight="1"/>
    <row r="110" s="7" customFormat="1" ht="13.5" customHeight="1"/>
    <row r="111" s="7" customFormat="1" ht="13.5" customHeight="1"/>
    <row r="112" s="7" customFormat="1" ht="13.5" customHeight="1"/>
    <row r="113" s="7" customFormat="1" ht="13.5" customHeight="1"/>
    <row r="114" s="7" customFormat="1" ht="13.5" customHeight="1"/>
    <row r="115" s="7" customFormat="1" ht="13.5" customHeight="1"/>
    <row r="116" s="7" customFormat="1" ht="13.5" customHeight="1"/>
    <row r="117" s="7" customFormat="1" ht="13.5" customHeight="1"/>
    <row r="118" s="7" customFormat="1" ht="13.5" customHeight="1"/>
    <row r="119" s="7" customFormat="1" ht="13.5" customHeight="1"/>
    <row r="120" s="7" customFormat="1" ht="13.5" customHeight="1"/>
    <row r="121" s="7" customFormat="1" ht="13.5" customHeight="1"/>
    <row r="122" s="7" customFormat="1" ht="13.5" customHeight="1"/>
    <row r="123" s="7" customFormat="1" ht="13.5" customHeight="1"/>
    <row r="124" s="7" customFormat="1" ht="13.5" customHeight="1"/>
    <row r="125" s="7" customFormat="1" ht="13.5" customHeight="1"/>
    <row r="126" s="7" customFormat="1" ht="13.5" customHeight="1"/>
    <row r="127" s="7" customFormat="1" ht="13.5" customHeight="1"/>
    <row r="128" s="7" customFormat="1" ht="13.5" customHeight="1"/>
    <row r="129" s="7" customFormat="1" ht="13.5" customHeight="1"/>
    <row r="130" s="7" customFormat="1" ht="13.5" customHeight="1"/>
    <row r="131" s="7" customFormat="1" ht="13.5" customHeight="1"/>
    <row r="132" s="7" customFormat="1" ht="13.5" customHeight="1"/>
    <row r="133" s="7" customFormat="1" ht="13.5" customHeight="1"/>
    <row r="134" s="7" customFormat="1" ht="13.5" customHeight="1"/>
    <row r="135" s="7" customFormat="1" ht="13.5" customHeight="1"/>
    <row r="136" s="7" customFormat="1" ht="13.5" customHeight="1"/>
    <row r="137" s="7" customFormat="1" ht="13.5" customHeight="1"/>
    <row r="138" s="7" customFormat="1" ht="13.5" customHeight="1"/>
    <row r="139" s="7" customFormat="1" ht="13.5" customHeight="1"/>
    <row r="140" s="7" customFormat="1" ht="13.5" customHeight="1"/>
    <row r="141" s="7" customFormat="1" ht="13.5" customHeight="1"/>
    <row r="142" s="7" customFormat="1" ht="13.5" customHeight="1"/>
    <row r="143" s="7" customFormat="1" ht="13.5" customHeight="1"/>
    <row r="144" s="7" customFormat="1" ht="13.5" customHeight="1"/>
    <row r="145" s="7" customFormat="1" ht="13.5" customHeight="1"/>
    <row r="146" s="7" customFormat="1" ht="13.5" customHeight="1"/>
    <row r="147" s="7" customFormat="1" ht="13.5" customHeight="1"/>
    <row r="148" s="7" customFormat="1" ht="13.5" customHeight="1"/>
    <row r="149" s="7" customFormat="1" ht="13.5" customHeight="1"/>
    <row r="150" s="7" customFormat="1" ht="13.5" customHeight="1"/>
    <row r="151" s="7" customFormat="1" ht="13.5" customHeight="1"/>
    <row r="152" s="7" customFormat="1" ht="13.5" customHeight="1"/>
    <row r="153" s="7" customFormat="1" ht="13.5" customHeight="1"/>
    <row r="154" s="7" customFormat="1" ht="13.5" customHeight="1"/>
    <row r="155" s="7" customFormat="1" ht="13.5" customHeight="1"/>
    <row r="156" s="7" customFormat="1" ht="13.5" customHeight="1"/>
    <row r="157" s="7" customFormat="1" ht="13.5" customHeight="1"/>
    <row r="158" s="7" customFormat="1" ht="13.5" customHeight="1"/>
    <row r="159" s="7" customFormat="1" ht="13.5" customHeight="1"/>
    <row r="160" s="7" customFormat="1" ht="13.5" customHeight="1"/>
    <row r="161" s="7" customFormat="1" ht="13.5" customHeight="1"/>
    <row r="162" s="7" customFormat="1" ht="13.5" customHeight="1"/>
    <row r="163" s="7" customFormat="1" ht="13.5" customHeight="1"/>
    <row r="164" s="7" customFormat="1" ht="13.5" customHeight="1"/>
    <row r="165" s="7" customFormat="1" ht="13.5" customHeight="1"/>
    <row r="166" s="7" customFormat="1" ht="13.5" customHeight="1"/>
    <row r="167" s="7" customFormat="1" ht="13.5" customHeight="1"/>
    <row r="168" s="7" customFormat="1" ht="13.5" customHeight="1"/>
    <row r="169" s="7" customFormat="1" ht="13.5" customHeight="1"/>
    <row r="170" s="7" customFormat="1" ht="13.5" customHeight="1"/>
    <row r="171" s="7" customFormat="1" ht="13.5" customHeight="1"/>
    <row r="172" s="7" customFormat="1" ht="13.5" customHeight="1"/>
    <row r="173" s="7" customFormat="1" ht="13.5" customHeight="1"/>
    <row r="174" s="7" customFormat="1" ht="13.5" customHeight="1"/>
    <row r="175" s="7" customFormat="1" ht="13.5" customHeight="1"/>
    <row r="176" s="7" customFormat="1" ht="13.5" customHeight="1"/>
    <row r="177" s="7" customFormat="1" ht="13.5" customHeight="1"/>
    <row r="178" s="7" customFormat="1" ht="13.5" customHeight="1"/>
    <row r="179" s="7" customFormat="1" ht="13.5" customHeight="1"/>
    <row r="180" s="7" customFormat="1" ht="13.5" customHeight="1"/>
    <row r="181" s="7" customFormat="1" ht="13.5" customHeight="1"/>
    <row r="182" s="7" customFormat="1" ht="13.5" customHeight="1"/>
    <row r="183" s="7" customFormat="1" ht="13.5" customHeight="1"/>
    <row r="184" s="7" customFormat="1" ht="13.5" customHeight="1"/>
    <row r="185" s="7" customFormat="1" ht="13.5" customHeight="1"/>
    <row r="186" s="7" customFormat="1" ht="13.5" customHeight="1"/>
    <row r="187" s="7" customFormat="1" ht="13.5" customHeight="1"/>
    <row r="188" s="7" customFormat="1" ht="13.5" customHeight="1"/>
    <row r="189" s="7" customFormat="1" ht="13.5" customHeight="1"/>
    <row r="190" s="7" customFormat="1" ht="13.5" customHeight="1"/>
    <row r="191" s="7" customFormat="1" ht="13.5" customHeight="1"/>
    <row r="192" s="7" customFormat="1" ht="13.5" customHeight="1"/>
    <row r="193" s="7" customFormat="1" ht="13.5" customHeight="1"/>
    <row r="194" s="7" customFormat="1" ht="13.5" customHeight="1"/>
    <row r="195" s="7" customFormat="1" ht="13.5" customHeight="1"/>
    <row r="196" s="7" customFormat="1" ht="13.5" customHeight="1"/>
    <row r="197" s="7" customFormat="1" ht="13.5" customHeight="1"/>
    <row r="198" s="7" customFormat="1" ht="13.5" customHeight="1"/>
    <row r="199" s="7" customFormat="1" ht="13.5" customHeight="1"/>
    <row r="200" s="7" customFormat="1" ht="13.5" customHeight="1"/>
    <row r="201" s="7" customFormat="1" ht="13.5" customHeight="1"/>
    <row r="202" s="7" customFormat="1" ht="13.5" customHeight="1"/>
    <row r="203" s="7" customFormat="1" ht="13.5" customHeight="1"/>
    <row r="204" s="7" customFormat="1" ht="13.5" customHeight="1"/>
    <row r="205" s="7" customFormat="1" ht="13.5" customHeight="1"/>
    <row r="206" s="7" customFormat="1" ht="13.5" customHeight="1"/>
    <row r="207" s="7" customFormat="1" ht="13.5" customHeight="1"/>
    <row r="208" s="7" customFormat="1" ht="13.5" customHeight="1"/>
    <row r="209" s="7" customFormat="1" ht="13.5" customHeight="1"/>
    <row r="210" s="7" customFormat="1" ht="13.5" customHeight="1"/>
    <row r="211" s="7" customFormat="1" ht="13.5" customHeight="1"/>
    <row r="212" s="7" customFormat="1" ht="13.5" customHeight="1"/>
    <row r="213" s="7" customFormat="1" ht="13.5" customHeight="1"/>
    <row r="214" s="7" customFormat="1" ht="13.5" customHeight="1"/>
    <row r="215" s="7" customFormat="1" ht="13.5" customHeight="1"/>
    <row r="216" s="7" customFormat="1" ht="13.5" customHeight="1"/>
    <row r="217" s="7" customFormat="1" ht="13.5" customHeight="1"/>
    <row r="218" s="7" customFormat="1" ht="13.5" customHeight="1"/>
    <row r="219" s="7" customFormat="1" ht="13.5" customHeight="1"/>
    <row r="220" s="7" customFormat="1" ht="13.5" customHeight="1"/>
    <row r="221" s="7" customFormat="1" ht="13.5" customHeight="1"/>
    <row r="222" s="7" customFormat="1" ht="13.5" customHeight="1"/>
    <row r="223" s="7" customFormat="1" ht="13.5" customHeight="1"/>
    <row r="224" s="7" customFormat="1" ht="13.5" customHeight="1"/>
    <row r="225" s="7" customFormat="1" ht="13.5" customHeight="1"/>
    <row r="226" s="7" customFormat="1" ht="13.5" customHeight="1"/>
    <row r="227" s="7" customFormat="1" ht="13.5" customHeight="1"/>
    <row r="228" s="7" customFormat="1" ht="13.5" customHeight="1"/>
    <row r="229" s="7" customFormat="1" ht="13.5" customHeight="1"/>
    <row r="230" s="7" customFormat="1" ht="13.5" customHeight="1"/>
    <row r="231" s="7" customFormat="1" ht="13.5" customHeight="1"/>
    <row r="232" s="7" customFormat="1" ht="13.5" customHeight="1"/>
    <row r="233" s="7" customFormat="1" ht="13.5" customHeight="1"/>
    <row r="234" s="7" customFormat="1" ht="13.5" customHeight="1"/>
    <row r="235" s="7" customFormat="1" ht="13.5" customHeight="1"/>
    <row r="236" s="7" customFormat="1" ht="13.5" customHeight="1"/>
    <row r="237" s="7" customFormat="1" ht="13.5" customHeight="1"/>
    <row r="238" s="7" customFormat="1" ht="13.5" customHeight="1"/>
    <row r="239" s="7" customFormat="1" ht="13.5" customHeight="1"/>
    <row r="240" s="7" customFormat="1" ht="13.5" customHeight="1"/>
    <row r="241" s="7" customFormat="1" ht="13.5" customHeight="1"/>
    <row r="242" s="7" customFormat="1" ht="13.5" customHeight="1"/>
    <row r="243" s="7" customFormat="1" ht="13.5" customHeight="1"/>
    <row r="244" s="7" customFormat="1" ht="13.5" customHeight="1"/>
    <row r="245" s="7" customFormat="1" ht="13.5" customHeight="1"/>
    <row r="246" s="7" customFormat="1" ht="13.5" customHeight="1"/>
    <row r="247" s="7" customFormat="1" ht="13.5" customHeight="1"/>
    <row r="248" s="7" customFormat="1" ht="13.5" customHeight="1"/>
    <row r="249" s="7" customFormat="1" ht="13.5" customHeight="1"/>
    <row r="250" s="7" customFormat="1" ht="13.5" customHeight="1"/>
    <row r="251" s="7" customFormat="1" ht="13.5" customHeight="1"/>
    <row r="252" s="7" customFormat="1" ht="13.5" customHeight="1"/>
    <row r="253" s="7" customFormat="1" ht="13.5" customHeight="1"/>
    <row r="254" s="7" customFormat="1" ht="13.5" customHeight="1"/>
    <row r="255" s="7" customFormat="1" ht="13.5" customHeight="1"/>
    <row r="256" s="7" customFormat="1" ht="13.5" customHeight="1"/>
    <row r="257" s="7" customFormat="1" ht="13.5" customHeight="1"/>
    <row r="258" s="7" customFormat="1" ht="13.5" customHeight="1"/>
    <row r="259" s="7" customFormat="1" ht="13.5" customHeight="1"/>
    <row r="260" s="7" customFormat="1" ht="13.5" customHeight="1"/>
    <row r="261" s="7" customFormat="1" ht="13.5" customHeight="1"/>
    <row r="262" s="7" customFormat="1" ht="13.5" customHeight="1"/>
    <row r="263" s="7" customFormat="1" ht="13.5" customHeight="1"/>
    <row r="264" s="7" customFormat="1" ht="13.5" customHeight="1"/>
    <row r="265" s="7" customFormat="1" ht="13.5" customHeight="1"/>
    <row r="266" s="7" customFormat="1" ht="13.5" customHeight="1"/>
    <row r="267" s="7" customFormat="1" ht="13.5" customHeight="1"/>
    <row r="268" s="7" customFormat="1" ht="13.5" customHeight="1"/>
    <row r="269" s="7" customFormat="1" ht="13.5" customHeight="1"/>
    <row r="270" s="7" customFormat="1" ht="13.5" customHeight="1"/>
    <row r="271" s="7" customFormat="1" ht="13.5" customHeight="1"/>
    <row r="272" s="7" customFormat="1" ht="13.5" customHeight="1"/>
    <row r="273" s="7" customFormat="1" ht="13.5" customHeight="1"/>
    <row r="274" s="7" customFormat="1" ht="13.5" customHeight="1"/>
    <row r="275" s="7" customFormat="1" ht="13.5" customHeight="1"/>
    <row r="276" s="7" customFormat="1" ht="13.5" customHeight="1"/>
    <row r="277" s="7" customFormat="1" ht="13.5" customHeight="1"/>
    <row r="278" s="7" customFormat="1" ht="13.5" customHeight="1"/>
    <row r="279" s="7" customFormat="1" ht="13.5" customHeight="1"/>
    <row r="280" s="7" customFormat="1" ht="13.5" customHeight="1"/>
    <row r="281" s="7" customFormat="1" ht="13.5" customHeight="1"/>
    <row r="282" s="7" customFormat="1" ht="13.5" customHeight="1"/>
    <row r="283" s="7" customFormat="1" ht="13.5" customHeight="1"/>
    <row r="284" s="7" customFormat="1" ht="13.5" customHeight="1"/>
    <row r="285" s="7" customFormat="1" ht="13.5" customHeight="1"/>
    <row r="286" s="7" customFormat="1" ht="13.5" customHeight="1"/>
    <row r="287" s="7" customFormat="1" ht="13.5" customHeight="1"/>
    <row r="288" s="7" customFormat="1" ht="13.5" customHeight="1"/>
    <row r="289" s="7" customFormat="1" ht="13.5" customHeight="1"/>
    <row r="290" s="7" customFormat="1" ht="13.5" customHeight="1"/>
    <row r="291" s="7" customFormat="1" ht="13.5" customHeight="1"/>
    <row r="292" s="7" customFormat="1" ht="13.5" customHeight="1"/>
    <row r="293" s="7" customFormat="1" ht="13.5" customHeight="1"/>
    <row r="294" s="7" customFormat="1" ht="13.5" customHeight="1"/>
    <row r="295" s="7" customFormat="1" ht="13.5" customHeight="1"/>
    <row r="296" s="7" customFormat="1" ht="13.5" customHeight="1"/>
    <row r="297" s="7" customFormat="1" ht="13.5" customHeight="1"/>
    <row r="298" s="7" customFormat="1" ht="13.5" customHeight="1"/>
    <row r="299" s="7" customFormat="1" ht="13.5" customHeight="1"/>
    <row r="300" s="7" customFormat="1" ht="13.5" customHeight="1"/>
    <row r="301" s="7" customFormat="1" ht="13.5" customHeight="1"/>
    <row r="302" s="7" customFormat="1" ht="13.5" customHeight="1"/>
    <row r="303" s="7" customFormat="1" ht="13.5" customHeight="1"/>
    <row r="304" s="7" customFormat="1" ht="13.5" customHeight="1"/>
    <row r="305" s="7" customFormat="1" ht="13.5" customHeight="1"/>
    <row r="306" s="7" customFormat="1" ht="13.5" customHeight="1"/>
    <row r="307" s="7" customFormat="1" ht="13.5" customHeight="1"/>
    <row r="308" s="7" customFormat="1" ht="13.5" customHeight="1"/>
    <row r="309" s="7" customFormat="1" ht="13.5" customHeight="1"/>
    <row r="310" s="7" customFormat="1" ht="13.5" customHeight="1"/>
    <row r="311" s="7" customFormat="1" ht="13.5" customHeight="1"/>
    <row r="312" s="7" customFormat="1" ht="13.5" customHeight="1"/>
    <row r="313" s="7" customFormat="1" ht="13.5" customHeight="1"/>
    <row r="314" s="7" customFormat="1" ht="13.5" customHeight="1"/>
    <row r="315" s="7" customFormat="1" ht="13.5" customHeight="1"/>
    <row r="316" s="7" customFormat="1" ht="13.5" customHeight="1"/>
    <row r="317" s="7" customFormat="1" ht="13.5" customHeight="1"/>
    <row r="318" s="7" customFormat="1" ht="13.5" customHeight="1"/>
    <row r="319" s="7" customFormat="1" ht="13.5" customHeight="1"/>
    <row r="320" s="7" customFormat="1" ht="13.5" customHeight="1"/>
    <row r="321" s="7" customFormat="1" ht="13.5" customHeight="1"/>
    <row r="322" s="7" customFormat="1" ht="13.5" customHeight="1"/>
    <row r="323" s="7" customFormat="1" ht="13.5" customHeight="1"/>
    <row r="324" s="7" customFormat="1" ht="13.5" customHeight="1"/>
    <row r="325" s="7" customFormat="1" ht="13.5" customHeight="1"/>
    <row r="326" s="7" customFormat="1" ht="13.5" customHeight="1"/>
    <row r="327" s="7" customFormat="1" ht="13.5" customHeight="1"/>
    <row r="328" s="7" customFormat="1" ht="13.5" customHeight="1"/>
    <row r="329" s="7" customFormat="1" ht="13.5" customHeight="1"/>
    <row r="330" s="7" customFormat="1" ht="13.5" customHeight="1"/>
    <row r="331" s="7" customFormat="1" ht="13.5" customHeight="1"/>
    <row r="332" s="7" customFormat="1" ht="13.5" customHeight="1"/>
    <row r="333" s="7" customFormat="1" ht="13.5" customHeight="1"/>
    <row r="334" s="7" customFormat="1" ht="13.5" customHeight="1"/>
    <row r="335" s="7" customFormat="1" ht="13.5" customHeight="1"/>
    <row r="336" s="7" customFormat="1" ht="13.5" customHeight="1"/>
    <row r="337" s="7" customFormat="1" ht="13.5" customHeight="1"/>
    <row r="338" s="7" customFormat="1" ht="13.5" customHeight="1"/>
    <row r="339" s="7" customFormat="1" ht="13.5" customHeight="1"/>
    <row r="340" s="7" customFormat="1" ht="13.5" customHeight="1"/>
    <row r="341" s="7" customFormat="1" ht="13.5" customHeight="1"/>
    <row r="342" s="7" customFormat="1" ht="13.5" customHeight="1"/>
    <row r="343" s="7" customFormat="1" ht="13.5" customHeight="1"/>
    <row r="344" s="7" customFormat="1" ht="13.5" customHeight="1"/>
    <row r="345" s="7" customFormat="1" ht="13.5" customHeight="1"/>
    <row r="346" s="7" customFormat="1" ht="13.5" customHeight="1"/>
    <row r="347" s="7" customFormat="1" ht="13.5" customHeight="1"/>
    <row r="348" s="7" customFormat="1" ht="13.5" customHeight="1"/>
    <row r="349" s="7" customFormat="1" ht="13.5" customHeight="1"/>
    <row r="350" s="7" customFormat="1" ht="13.5" customHeight="1"/>
    <row r="351" s="7" customFormat="1" ht="13.5" customHeight="1"/>
    <row r="352" s="7" customFormat="1" ht="13.5" customHeight="1"/>
    <row r="353" s="7" customFormat="1" ht="13.5" customHeight="1"/>
    <row r="354" s="7" customFormat="1" ht="13.5" customHeight="1"/>
    <row r="355" s="7" customFormat="1" ht="13.5" customHeight="1"/>
    <row r="356" s="7" customFormat="1" ht="13.5" customHeight="1"/>
    <row r="357" s="7" customFormat="1" ht="13.5" customHeight="1"/>
    <row r="358" s="7" customFormat="1" ht="13.5" customHeight="1"/>
    <row r="359" s="7" customFormat="1" ht="13.5" customHeight="1"/>
    <row r="360" s="7" customFormat="1" ht="13.5" customHeight="1"/>
    <row r="361" s="7" customFormat="1" ht="13.5" customHeight="1"/>
    <row r="362" s="7" customFormat="1" ht="13.5" customHeight="1"/>
    <row r="363" s="7" customFormat="1" ht="13.5" customHeight="1"/>
    <row r="364" s="7" customFormat="1" ht="13.5" customHeight="1"/>
    <row r="365" s="7" customFormat="1" ht="13.5" customHeight="1"/>
    <row r="366" s="7" customFormat="1" ht="13.5" customHeight="1"/>
    <row r="367" s="7" customFormat="1" ht="13.5" customHeight="1"/>
    <row r="368" s="7" customFormat="1" ht="13.5" customHeight="1"/>
    <row r="369" s="7" customFormat="1" ht="13.5" customHeight="1"/>
    <row r="370" s="7" customFormat="1" ht="13.5" customHeight="1"/>
    <row r="371" s="7" customFormat="1" ht="13.5" customHeight="1"/>
    <row r="372" s="7" customFormat="1" ht="13.5" customHeight="1"/>
    <row r="373" s="7" customFormat="1" ht="13.5" customHeight="1"/>
    <row r="374" s="7" customFormat="1" ht="13.5" customHeight="1"/>
    <row r="375" s="7" customFormat="1" ht="13.5" customHeight="1"/>
    <row r="376" s="7" customFormat="1" ht="13.5" customHeight="1"/>
    <row r="377" s="7" customFormat="1" ht="13.5" customHeight="1"/>
    <row r="378" s="7" customFormat="1" ht="13.5" customHeight="1"/>
    <row r="379" s="7" customFormat="1" ht="13.5" customHeight="1"/>
    <row r="380" s="7" customFormat="1" ht="13.5" customHeight="1"/>
    <row r="381" s="7" customFormat="1" ht="13.5" customHeight="1"/>
    <row r="382" s="7" customFormat="1" ht="13.5" customHeight="1"/>
    <row r="383" s="7" customFormat="1" ht="13.5" customHeight="1"/>
    <row r="384" s="7" customFormat="1" ht="13.5" customHeight="1"/>
    <row r="385" s="7" customFormat="1" ht="13.5" customHeight="1"/>
    <row r="386" s="7" customFormat="1" ht="13.5" customHeight="1"/>
    <row r="387" s="7" customFormat="1" ht="13.5" customHeight="1"/>
    <row r="388" s="7" customFormat="1" ht="13.5" customHeight="1"/>
    <row r="389" s="7" customFormat="1" ht="13.5" customHeight="1"/>
    <row r="390" s="7" customFormat="1" ht="13.5" customHeight="1"/>
    <row r="391" s="7" customFormat="1" ht="13.5" customHeight="1"/>
    <row r="392" s="7" customFormat="1" ht="13.5" customHeight="1"/>
    <row r="393" s="7" customFormat="1" ht="13.5" customHeight="1"/>
    <row r="394" s="7" customFormat="1" ht="13.5" customHeight="1"/>
    <row r="395" s="7" customFormat="1" ht="13.5" customHeight="1"/>
    <row r="396" s="7" customFormat="1" ht="13.5" customHeight="1"/>
    <row r="397" s="7" customFormat="1" ht="13.5" customHeight="1"/>
    <row r="398" s="7" customFormat="1" ht="13.5" customHeight="1"/>
    <row r="399" s="7" customFormat="1" ht="13.5" customHeight="1"/>
    <row r="400" s="7" customFormat="1" ht="13.5" customHeight="1"/>
    <row r="401" s="7" customFormat="1" ht="13.5" customHeight="1"/>
    <row r="402" s="7" customFormat="1" ht="13.5" customHeight="1"/>
    <row r="403" s="7" customFormat="1" ht="13.5" customHeight="1"/>
    <row r="404" s="7" customFormat="1" ht="13.5" customHeight="1"/>
    <row r="405" s="7" customFormat="1" ht="13.5" customHeight="1"/>
    <row r="406" s="7" customFormat="1" ht="13.5" customHeight="1"/>
    <row r="407" s="7" customFormat="1" ht="13.5" customHeight="1"/>
    <row r="408" s="7" customFormat="1" ht="13.5" customHeight="1"/>
    <row r="409" s="7" customFormat="1" ht="13.5" customHeight="1"/>
    <row r="410" s="7" customFormat="1" ht="13.5" customHeight="1"/>
    <row r="411" s="7" customFormat="1" ht="13.5" customHeight="1"/>
    <row r="412" s="7" customFormat="1" ht="13.5" customHeight="1"/>
    <row r="413" s="7" customFormat="1" ht="13.5" customHeight="1"/>
    <row r="414" s="7" customFormat="1" ht="13.5" customHeight="1"/>
    <row r="415" s="7" customFormat="1" ht="13.5" customHeight="1"/>
    <row r="416" s="7" customFormat="1" ht="13.5" customHeight="1"/>
    <row r="417" s="7" customFormat="1" ht="13.5" customHeight="1"/>
    <row r="418" s="7" customFormat="1" ht="13.5" customHeight="1"/>
    <row r="419" s="7" customFormat="1" ht="13.5" customHeight="1"/>
    <row r="420" s="7" customFormat="1" ht="13.5" customHeight="1"/>
    <row r="421" s="7" customFormat="1" ht="13.5" customHeight="1"/>
    <row r="422" s="7" customFormat="1" ht="13.5" customHeight="1"/>
    <row r="423" s="7" customFormat="1" ht="13.5" customHeight="1"/>
    <row r="424" s="7" customFormat="1" ht="13.5" customHeight="1"/>
    <row r="425" s="7" customFormat="1" ht="13.5" customHeight="1"/>
    <row r="426" s="7" customFormat="1" ht="13.5" customHeight="1"/>
    <row r="427" s="7" customFormat="1" ht="13.5" customHeight="1"/>
    <row r="428" s="7" customFormat="1" ht="13.5" customHeight="1"/>
    <row r="429" s="7" customFormat="1" ht="13.5" customHeight="1"/>
    <row r="430" s="7" customFormat="1" ht="13.5" customHeight="1"/>
    <row r="431" s="7" customFormat="1" ht="13.5" customHeight="1"/>
    <row r="432" s="7" customFormat="1" ht="13.5" customHeight="1"/>
    <row r="433" s="7" customFormat="1" ht="13.5" customHeight="1"/>
    <row r="434" s="7" customFormat="1" ht="13.5" customHeight="1"/>
    <row r="435" s="7" customFormat="1" ht="13.5" customHeight="1"/>
    <row r="436" s="7" customFormat="1" ht="13.5" customHeight="1"/>
    <row r="437" s="7" customFormat="1" ht="13.5" customHeight="1"/>
    <row r="438" s="7" customFormat="1" ht="13.5" customHeight="1"/>
    <row r="439" s="7" customFormat="1" ht="13.5" customHeight="1"/>
    <row r="440" s="7" customFormat="1" ht="13.5" customHeight="1"/>
    <row r="441" s="7" customFormat="1" ht="13.5" customHeight="1"/>
    <row r="442" s="7" customFormat="1" ht="13.5" customHeight="1"/>
    <row r="443" s="7" customFormat="1" ht="13.5" customHeight="1"/>
    <row r="444" s="7" customFormat="1" ht="13.5" customHeight="1"/>
    <row r="445" s="7" customFormat="1" ht="13.5" customHeight="1"/>
    <row r="446" s="7" customFormat="1" ht="13.5" customHeight="1"/>
    <row r="447" s="7" customFormat="1" ht="13.5" customHeight="1"/>
    <row r="448" s="7" customFormat="1" ht="13.5" customHeight="1"/>
    <row r="449" s="7" customFormat="1" ht="13.5" customHeight="1"/>
    <row r="450" s="7" customFormat="1" ht="13.5" customHeight="1"/>
    <row r="451" s="7" customFormat="1" ht="13.5" customHeight="1"/>
    <row r="452" s="7" customFormat="1" ht="13.5" customHeight="1"/>
    <row r="453" s="7" customFormat="1" ht="13.5" customHeight="1"/>
    <row r="454" s="7" customFormat="1" ht="13.5" customHeight="1"/>
    <row r="455" s="7" customFormat="1" ht="13.5" customHeight="1"/>
    <row r="456" s="7" customFormat="1" ht="13.5" customHeight="1"/>
    <row r="457" s="7" customFormat="1" ht="13.5" customHeight="1"/>
    <row r="458" s="7" customFormat="1" ht="13.5" customHeight="1"/>
    <row r="459" s="7" customFormat="1" ht="13.5" customHeight="1"/>
    <row r="460" s="7" customFormat="1" ht="13.5" customHeight="1"/>
    <row r="461" s="7" customFormat="1" ht="13.5" customHeight="1"/>
    <row r="462" s="7" customFormat="1" ht="13.5" customHeight="1"/>
    <row r="463" s="7" customFormat="1" ht="13.5" customHeight="1"/>
    <row r="464" s="7" customFormat="1" ht="13.5" customHeight="1"/>
    <row r="465" s="7" customFormat="1" ht="13.5" customHeight="1"/>
    <row r="466" s="7" customFormat="1" ht="13.5" customHeight="1"/>
    <row r="467" s="7" customFormat="1" ht="13.5" customHeight="1"/>
    <row r="468" s="7" customFormat="1" ht="13.5" customHeight="1"/>
    <row r="469" s="7" customFormat="1" ht="13.5" customHeight="1"/>
    <row r="470" s="7" customFormat="1" ht="13.5" customHeight="1"/>
    <row r="471" s="7" customFormat="1" ht="13.5" customHeight="1"/>
    <row r="472" s="7" customFormat="1" ht="13.5" customHeight="1"/>
    <row r="473" s="7" customFormat="1" ht="13.5" customHeight="1"/>
    <row r="474" s="7" customFormat="1" ht="13.5" customHeight="1"/>
    <row r="475" s="7" customFormat="1" ht="13.5" customHeight="1"/>
    <row r="476" s="7" customFormat="1" ht="13.5" customHeight="1"/>
    <row r="477" s="7" customFormat="1" ht="13.5" customHeight="1"/>
    <row r="478" s="7" customFormat="1" ht="13.5" customHeight="1"/>
    <row r="479" s="7" customFormat="1" ht="13.5" customHeight="1"/>
    <row r="480" s="7" customFormat="1" ht="13.5" customHeight="1"/>
    <row r="481" s="7" customFormat="1" ht="13.5" customHeight="1"/>
    <row r="482" s="7" customFormat="1" ht="13.5" customHeight="1"/>
    <row r="483" s="7" customFormat="1" ht="13.5" customHeight="1"/>
    <row r="484" s="7" customFormat="1" ht="13.5" customHeight="1"/>
    <row r="485" s="7" customFormat="1" ht="13.5" customHeight="1"/>
    <row r="486" s="7" customFormat="1" ht="13.5" customHeight="1"/>
    <row r="487" s="7" customFormat="1" ht="13.5" customHeight="1"/>
    <row r="488" s="7" customFormat="1" ht="13.5" customHeight="1"/>
    <row r="489" s="7" customFormat="1" ht="13.5" customHeight="1"/>
    <row r="490" s="7" customFormat="1" ht="13.5" customHeight="1"/>
    <row r="491" s="7" customFormat="1" ht="13.5" customHeight="1"/>
    <row r="492" s="7" customFormat="1" ht="13.5" customHeight="1"/>
    <row r="493" s="7" customFormat="1" ht="13.5" customHeight="1"/>
    <row r="494" s="7" customFormat="1" ht="13.5" customHeight="1"/>
    <row r="495" s="7" customFormat="1" ht="13.5" customHeight="1"/>
    <row r="496" s="7" customFormat="1" ht="13.5" customHeight="1"/>
    <row r="497" s="7" customFormat="1" ht="13.5" customHeight="1"/>
    <row r="498" s="7" customFormat="1" ht="13.5" customHeight="1"/>
    <row r="499" s="7" customFormat="1" ht="13.5" customHeight="1"/>
    <row r="500" s="7" customFormat="1" ht="13.5" customHeight="1"/>
    <row r="501" s="7" customFormat="1" ht="13.5" customHeight="1"/>
    <row r="502" s="7" customFormat="1" ht="13.5" customHeight="1"/>
    <row r="503" s="7" customFormat="1" ht="13.5" customHeight="1"/>
    <row r="504" s="7" customFormat="1" ht="13.5" customHeight="1"/>
    <row r="505" s="7" customFormat="1" ht="13.5" customHeight="1"/>
    <row r="506" s="7" customFormat="1" ht="13.5" customHeight="1"/>
    <row r="507" s="7" customFormat="1" ht="13.5" customHeight="1"/>
    <row r="508" s="7" customFormat="1" ht="13.5" customHeight="1"/>
    <row r="509" s="7" customFormat="1" ht="13.5" customHeight="1"/>
    <row r="510" s="7" customFormat="1" ht="13.5" customHeight="1"/>
    <row r="511" s="7" customFormat="1" ht="13.5" customHeight="1"/>
    <row r="512" s="7" customFormat="1" ht="13.5" customHeight="1"/>
    <row r="513" s="7" customFormat="1" ht="13.5" customHeight="1"/>
    <row r="514" s="7" customFormat="1" ht="13.5" customHeight="1"/>
    <row r="515" s="7" customFormat="1" ht="13.5" customHeight="1"/>
    <row r="516" s="7" customFormat="1" ht="13.5" customHeight="1"/>
    <row r="517" s="7" customFormat="1" ht="13.5" customHeight="1"/>
    <row r="518" s="7" customFormat="1" ht="13.5" customHeight="1"/>
    <row r="519" s="7" customFormat="1" ht="13.5" customHeight="1"/>
    <row r="520" s="7" customFormat="1" ht="13.5" customHeight="1"/>
    <row r="521" s="7" customFormat="1" ht="13.5" customHeight="1"/>
    <row r="522" s="7" customFormat="1" ht="13.5" customHeight="1"/>
    <row r="523" s="7" customFormat="1" ht="13.5" customHeight="1"/>
    <row r="524" s="7" customFormat="1" ht="13.5" customHeight="1"/>
    <row r="525" s="7" customFormat="1" ht="13.5" customHeight="1"/>
    <row r="526" s="7" customFormat="1" ht="13.5" customHeight="1"/>
    <row r="527" s="7" customFormat="1" ht="13.5" customHeight="1"/>
    <row r="528" s="7" customFormat="1" ht="13.5" customHeight="1"/>
    <row r="529" s="7" customFormat="1" ht="13.5" customHeight="1"/>
    <row r="530" s="7" customFormat="1" ht="13.5" customHeight="1"/>
    <row r="531" s="7" customFormat="1" ht="13.5" customHeight="1"/>
    <row r="532" s="7" customFormat="1" ht="13.5" customHeight="1"/>
    <row r="533" s="7" customFormat="1" ht="13.5" customHeight="1"/>
    <row r="534" s="7" customFormat="1" ht="13.5" customHeight="1"/>
    <row r="535" s="7" customFormat="1" ht="13.5" customHeight="1"/>
    <row r="536" s="7" customFormat="1" ht="13.5" customHeight="1"/>
    <row r="537" s="7" customFormat="1" ht="13.5" customHeight="1"/>
    <row r="538" s="7" customFormat="1" ht="13.5" customHeight="1"/>
    <row r="539" s="7" customFormat="1" ht="13.5" customHeight="1"/>
    <row r="540" s="7" customFormat="1" ht="13.5" customHeight="1"/>
    <row r="541" s="7" customFormat="1" ht="13.5" customHeight="1"/>
    <row r="542" s="7" customFormat="1" ht="13.5" customHeight="1"/>
    <row r="543" s="7" customFormat="1" ht="13.5" customHeight="1"/>
    <row r="544" s="7" customFormat="1" ht="13.5" customHeight="1"/>
    <row r="545" s="7" customFormat="1" ht="13.5" customHeight="1"/>
    <row r="546" s="7" customFormat="1" ht="13.5" customHeight="1"/>
    <row r="547" s="7" customFormat="1" ht="13.5" customHeight="1"/>
    <row r="548" s="7" customFormat="1" ht="13.5" customHeight="1"/>
    <row r="549" s="7" customFormat="1" ht="13.5" customHeight="1"/>
    <row r="550" s="7" customFormat="1" ht="13.5" customHeight="1"/>
    <row r="551" s="7" customFormat="1" ht="13.5" customHeight="1"/>
    <row r="552" s="7" customFormat="1" ht="13.5" customHeight="1"/>
    <row r="553" s="7" customFormat="1" ht="13.5" customHeight="1"/>
    <row r="554" s="7" customFormat="1" ht="13.5" customHeight="1"/>
    <row r="555" s="7" customFormat="1" ht="13.5" customHeight="1"/>
    <row r="556" s="7" customFormat="1" ht="13.5" customHeight="1"/>
    <row r="557" s="7" customFormat="1" ht="13.5" customHeight="1"/>
    <row r="558" s="7" customFormat="1" ht="13.5" customHeight="1"/>
    <row r="559" s="7" customFormat="1" ht="13.5" customHeight="1"/>
    <row r="560" s="7" customFormat="1" ht="13.5" customHeight="1"/>
    <row r="561" s="7" customFormat="1" ht="13.5" customHeight="1"/>
    <row r="562" s="7" customFormat="1" ht="13.5" customHeight="1"/>
    <row r="563" s="7" customFormat="1" ht="13.5" customHeight="1"/>
    <row r="564" s="7" customFormat="1" ht="13.5" customHeight="1"/>
    <row r="565" s="7" customFormat="1" ht="13.5" customHeight="1"/>
    <row r="566" s="7" customFormat="1" ht="13.5" customHeight="1"/>
    <row r="567" s="7" customFormat="1" ht="13.5" customHeight="1"/>
    <row r="568" s="7" customFormat="1" ht="13.5" customHeight="1"/>
    <row r="569" s="7" customFormat="1" ht="13.5" customHeight="1"/>
    <row r="570" s="7" customFormat="1" ht="13.5" customHeight="1"/>
    <row r="571" s="7" customFormat="1" ht="13.5" customHeight="1"/>
    <row r="572" s="7" customFormat="1" ht="13.5" customHeight="1"/>
    <row r="573" s="7" customFormat="1" ht="13.5" customHeight="1"/>
    <row r="574" s="7" customFormat="1" ht="13.5" customHeight="1"/>
    <row r="575" s="7" customFormat="1" ht="13.5" customHeight="1"/>
    <row r="576" s="7" customFormat="1" ht="13.5" customHeight="1"/>
    <row r="577" s="7" customFormat="1" ht="13.5" customHeight="1"/>
    <row r="578" s="7" customFormat="1" ht="13.5" customHeight="1"/>
    <row r="579" s="7" customFormat="1" ht="13.5" customHeight="1"/>
    <row r="580" s="7" customFormat="1" ht="13.5" customHeight="1"/>
    <row r="581" s="7" customFormat="1" ht="13.5" customHeight="1"/>
    <row r="582" s="7" customFormat="1" ht="13.5" customHeight="1"/>
    <row r="583" s="7" customFormat="1" ht="13.5" customHeight="1"/>
    <row r="584" s="7" customFormat="1" ht="13.5" customHeight="1"/>
    <row r="585" s="7" customFormat="1" ht="13.5" customHeight="1"/>
    <row r="586" s="7" customFormat="1" ht="13.5" customHeight="1"/>
    <row r="587" s="7" customFormat="1" ht="13.5" customHeight="1"/>
    <row r="588" s="7" customFormat="1" ht="13.5" customHeight="1"/>
    <row r="589" s="7" customFormat="1" ht="13.5" customHeight="1"/>
    <row r="590" s="7" customFormat="1" ht="13.5" customHeight="1"/>
    <row r="591" s="7" customFormat="1" ht="13.5" customHeight="1"/>
    <row r="592" s="7" customFormat="1" ht="13.5" customHeight="1"/>
    <row r="593" s="7" customFormat="1" ht="13.5" customHeight="1"/>
    <row r="594" s="7" customFormat="1" ht="13.5" customHeight="1"/>
    <row r="595" s="7" customFormat="1" ht="13.5" customHeight="1"/>
    <row r="596" s="7" customFormat="1" ht="13.5" customHeight="1"/>
    <row r="597" s="7" customFormat="1" ht="13.5" customHeight="1"/>
    <row r="598" s="7" customFormat="1" ht="13.5" customHeight="1"/>
    <row r="599" s="7" customFormat="1" ht="13.5" customHeight="1"/>
    <row r="600" s="7" customFormat="1" ht="13.5" customHeight="1"/>
    <row r="601" s="7" customFormat="1" ht="13.5" customHeight="1"/>
    <row r="602" s="7" customFormat="1" ht="13.5" customHeight="1"/>
    <row r="603" s="7" customFormat="1" ht="13.5" customHeight="1"/>
    <row r="604" s="7" customFormat="1" ht="13.5" customHeight="1"/>
    <row r="605" s="7" customFormat="1" ht="13.5" customHeight="1"/>
    <row r="606" s="7" customFormat="1" ht="13.5" customHeight="1"/>
    <row r="607" s="7" customFormat="1" ht="13.5" customHeight="1"/>
    <row r="608" s="7" customFormat="1" ht="13.5" customHeight="1"/>
    <row r="609" s="7" customFormat="1" ht="13.5" customHeight="1"/>
    <row r="610" s="7" customFormat="1" ht="13.5" customHeight="1"/>
    <row r="611" s="7" customFormat="1" ht="13.5" customHeight="1"/>
    <row r="612" s="7" customFormat="1" ht="13.5" customHeight="1"/>
    <row r="613" s="7" customFormat="1" ht="13.5" customHeight="1"/>
    <row r="614" s="7" customFormat="1" ht="13.5" customHeight="1"/>
    <row r="615" s="7" customFormat="1" ht="13.5" customHeight="1"/>
    <row r="616" s="7" customFormat="1" ht="13.5" customHeight="1"/>
    <row r="617" s="7" customFormat="1" ht="13.5" customHeight="1"/>
    <row r="618" s="7" customFormat="1" ht="13.5" customHeight="1"/>
    <row r="619" s="7" customFormat="1" ht="13.5" customHeight="1"/>
    <row r="620" s="7" customFormat="1" ht="13.5" customHeight="1"/>
    <row r="621" s="7" customFormat="1" ht="13.5" customHeight="1"/>
    <row r="622" s="7" customFormat="1" ht="13.5" customHeight="1"/>
    <row r="623" s="7" customFormat="1" ht="13.5" customHeight="1"/>
    <row r="624" s="7" customFormat="1" ht="13.5" customHeight="1"/>
    <row r="625" s="7" customFormat="1" ht="13.5" customHeight="1"/>
    <row r="626" s="7" customFormat="1" ht="13.5" customHeight="1"/>
    <row r="627" s="7" customFormat="1" ht="13.5" customHeight="1"/>
    <row r="628" s="7" customFormat="1" ht="13.5" customHeight="1"/>
    <row r="629" s="7" customFormat="1" ht="13.5" customHeight="1"/>
    <row r="630" s="7" customFormat="1" ht="13.5" customHeight="1"/>
    <row r="631" s="7" customFormat="1" ht="13.5" customHeight="1"/>
    <row r="632" s="7" customFormat="1" ht="13.5" customHeight="1"/>
    <row r="633" s="7" customFormat="1" ht="13.5" customHeight="1"/>
    <row r="634" s="7" customFormat="1" ht="13.5" customHeight="1"/>
    <row r="635" s="7" customFormat="1" ht="13.5" customHeight="1"/>
    <row r="636" s="7" customFormat="1" ht="13.5" customHeight="1"/>
    <row r="637" s="7" customFormat="1" ht="13.5" customHeight="1"/>
    <row r="638" s="7" customFormat="1" ht="13.5" customHeight="1"/>
    <row r="639" s="7" customFormat="1" ht="13.5" customHeight="1"/>
    <row r="640" s="7" customFormat="1" ht="13.5" customHeight="1"/>
    <row r="641" s="7" customFormat="1" ht="13.5" customHeight="1"/>
    <row r="642" s="7" customFormat="1" ht="13.5" customHeight="1"/>
    <row r="643" s="7" customFormat="1" ht="13.5" customHeight="1"/>
    <row r="644" s="7" customFormat="1" ht="13.5" customHeight="1"/>
    <row r="645" s="7" customFormat="1" ht="13.5" customHeight="1"/>
    <row r="646" s="7" customFormat="1" ht="13.5" customHeight="1"/>
    <row r="647" s="7" customFormat="1" ht="13.5" customHeight="1"/>
    <row r="648" s="7" customFormat="1" ht="13.5" customHeight="1"/>
    <row r="649" s="7" customFormat="1" ht="13.5" customHeight="1"/>
    <row r="650" s="7" customFormat="1" ht="13.5" customHeight="1"/>
    <row r="651" s="7" customFormat="1" ht="13.5" customHeight="1"/>
    <row r="652" s="7" customFormat="1" ht="13.5" customHeight="1"/>
    <row r="653" s="7" customFormat="1" ht="13.5" customHeight="1"/>
    <row r="654" s="7" customFormat="1" ht="13.5" customHeight="1"/>
    <row r="655" s="7" customFormat="1" ht="13.5" customHeight="1"/>
    <row r="656" s="7" customFormat="1" ht="13.5" customHeight="1"/>
    <row r="657" s="7" customFormat="1" ht="13.5" customHeight="1"/>
    <row r="658" s="7" customFormat="1" ht="13.5" customHeight="1"/>
    <row r="659" s="7" customFormat="1" ht="13.5" customHeight="1"/>
    <row r="660" s="7" customFormat="1" ht="13.5" customHeight="1"/>
    <row r="661" s="7" customFormat="1" ht="13.5" customHeight="1"/>
    <row r="662" s="7" customFormat="1" ht="13.5" customHeight="1"/>
    <row r="663" s="7" customFormat="1" ht="13.5" customHeight="1"/>
    <row r="664" s="7" customFormat="1" ht="13.5" customHeight="1"/>
    <row r="665" s="7" customFormat="1" ht="13.5" customHeight="1"/>
    <row r="666" s="7" customFormat="1" ht="13.5" customHeight="1"/>
    <row r="667" s="7" customFormat="1" ht="13.5" customHeight="1"/>
    <row r="668" s="7" customFormat="1" ht="13.5" customHeight="1"/>
    <row r="669" s="7" customFormat="1" ht="13.5" customHeight="1"/>
    <row r="670" s="7" customFormat="1" ht="13.5" customHeight="1"/>
    <row r="671" s="7" customFormat="1" ht="13.5" customHeight="1"/>
    <row r="672" s="7" customFormat="1" ht="13.5" customHeight="1"/>
    <row r="673" s="7" customFormat="1" ht="13.5" customHeight="1"/>
    <row r="674" s="7" customFormat="1" ht="13.5" customHeight="1"/>
    <row r="675" s="7" customFormat="1" ht="13.5" customHeight="1"/>
    <row r="676" s="7" customFormat="1" ht="13.5" customHeight="1"/>
    <row r="677" s="7" customFormat="1" ht="13.5" customHeight="1"/>
    <row r="678" s="7" customFormat="1" ht="13.5" customHeight="1"/>
    <row r="679" s="7" customFormat="1" ht="13.5" customHeight="1"/>
    <row r="680" s="7" customFormat="1" ht="13.5" customHeight="1"/>
    <row r="681" s="7" customFormat="1" ht="13.5" customHeight="1"/>
    <row r="682" s="7" customFormat="1" ht="13.5" customHeight="1"/>
    <row r="683" s="7" customFormat="1" ht="13.5" customHeight="1"/>
    <row r="684" s="7" customFormat="1" ht="13.5" customHeight="1"/>
    <row r="685" s="7" customFormat="1" ht="13.5" customHeight="1"/>
    <row r="686" s="7" customFormat="1" ht="13.5" customHeight="1"/>
    <row r="687" s="7" customFormat="1" ht="13.5" customHeight="1"/>
    <row r="688" s="7" customFormat="1" ht="13.5" customHeight="1"/>
    <row r="689" s="7" customFormat="1" ht="13.5" customHeight="1"/>
    <row r="690" s="7" customFormat="1" ht="13.5" customHeight="1"/>
    <row r="691" s="7" customFormat="1" ht="13.5" customHeight="1"/>
    <row r="692" s="7" customFormat="1" ht="13.5" customHeight="1"/>
    <row r="693" s="7" customFormat="1" ht="13.5" customHeight="1"/>
    <row r="694" s="7" customFormat="1" ht="13.5" customHeight="1"/>
    <row r="695" s="7" customFormat="1" ht="13.5" customHeight="1"/>
    <row r="696" s="7" customFormat="1" ht="13.5" customHeight="1"/>
    <row r="697" s="7" customFormat="1" ht="13.5" customHeight="1"/>
    <row r="698" s="7" customFormat="1" ht="13.5" customHeight="1"/>
    <row r="699" s="7" customFormat="1" ht="13.5" customHeight="1"/>
    <row r="700" s="7" customFormat="1" ht="13.5" customHeight="1"/>
    <row r="701" s="7" customFormat="1" ht="13.5" customHeight="1"/>
    <row r="702" s="7" customFormat="1" ht="13.5" customHeight="1"/>
    <row r="703" s="7" customFormat="1" ht="13.5" customHeight="1"/>
    <row r="704" s="7" customFormat="1" ht="13.5" customHeight="1"/>
    <row r="705" s="7" customFormat="1" ht="13.5" customHeight="1"/>
    <row r="706" s="7" customFormat="1" ht="13.5" customHeight="1"/>
    <row r="707" s="7" customFormat="1" ht="13.5" customHeight="1"/>
    <row r="708" s="7" customFormat="1" ht="13.5" customHeight="1"/>
    <row r="709" s="7" customFormat="1" ht="13.5" customHeight="1"/>
    <row r="710" s="7" customFormat="1" ht="13.5" customHeight="1"/>
    <row r="711" s="7" customFormat="1" ht="13.5" customHeight="1"/>
    <row r="712" s="7" customFormat="1" ht="13.5" customHeight="1"/>
    <row r="713" s="7" customFormat="1" ht="13.5" customHeight="1"/>
    <row r="714" s="7" customFormat="1" ht="13.5" customHeight="1"/>
    <row r="715" s="7" customFormat="1" ht="13.5" customHeight="1"/>
    <row r="716" s="7" customFormat="1" ht="13.5" customHeight="1"/>
    <row r="717" s="7" customFormat="1" ht="13.5" customHeight="1"/>
    <row r="718" s="7" customFormat="1" ht="13.5" customHeight="1"/>
    <row r="719" s="7" customFormat="1" ht="13.5" customHeight="1"/>
    <row r="720" s="7" customFormat="1" ht="13.5" customHeight="1"/>
    <row r="721" s="7" customFormat="1" ht="13.5" customHeight="1"/>
    <row r="722" s="7" customFormat="1" ht="13.5" customHeight="1"/>
    <row r="723" s="7" customFormat="1" ht="13.5" customHeight="1"/>
    <row r="724" s="7" customFormat="1" ht="13.5" customHeight="1"/>
    <row r="725" s="7" customFormat="1" ht="13.5" customHeight="1"/>
    <row r="726" s="7" customFormat="1" ht="13.5" customHeight="1"/>
    <row r="727" s="7" customFormat="1" ht="13.5" customHeight="1"/>
    <row r="728" s="7" customFormat="1" ht="13.5" customHeight="1"/>
    <row r="729" s="7" customFormat="1" ht="13.5" customHeight="1"/>
    <row r="730" s="7" customFormat="1" ht="13.5" customHeight="1"/>
    <row r="731" s="7" customFormat="1" ht="13.5" customHeight="1"/>
    <row r="732" s="7" customFormat="1" ht="13.5" customHeight="1"/>
    <row r="733" s="7" customFormat="1" ht="13.5" customHeight="1"/>
    <row r="734" s="7" customFormat="1" ht="13.5" customHeight="1"/>
    <row r="735" s="7" customFormat="1" ht="13.5" customHeight="1"/>
    <row r="736" s="7" customFormat="1" ht="13.5" customHeight="1"/>
    <row r="737" s="7" customFormat="1" ht="13.5" customHeight="1"/>
    <row r="738" s="7" customFormat="1" ht="13.5" customHeight="1"/>
    <row r="739" s="7" customFormat="1" ht="13.5" customHeight="1"/>
    <row r="740" s="7" customFormat="1" ht="13.5" customHeight="1"/>
    <row r="741" s="7" customFormat="1" ht="13.5" customHeight="1"/>
    <row r="742" s="7" customFormat="1" ht="13.5" customHeight="1"/>
    <row r="743" s="7" customFormat="1" ht="13.5" customHeight="1"/>
    <row r="744" s="7" customFormat="1" ht="13.5" customHeight="1"/>
    <row r="745" s="7" customFormat="1" ht="13.5" customHeight="1"/>
    <row r="746" s="7" customFormat="1" ht="13.5" customHeight="1"/>
    <row r="747" s="7" customFormat="1" ht="13.5" customHeight="1"/>
    <row r="748" s="7" customFormat="1" ht="13.5" customHeight="1"/>
    <row r="749" s="7" customFormat="1" ht="13.5" customHeight="1"/>
    <row r="750" s="7" customFormat="1" ht="13.5" customHeight="1"/>
    <row r="751" s="7" customFormat="1" ht="13.5" customHeight="1"/>
    <row r="752" s="7" customFormat="1" ht="13.5" customHeight="1"/>
    <row r="753" s="7" customFormat="1" ht="13.5" customHeight="1"/>
    <row r="754" s="7" customFormat="1" ht="13.5" customHeight="1"/>
    <row r="755" s="7" customFormat="1" ht="13.5" customHeight="1"/>
    <row r="756" s="7" customFormat="1" ht="13.5" customHeight="1"/>
    <row r="757" s="7" customFormat="1" ht="13.5" customHeight="1"/>
    <row r="758" s="7" customFormat="1" ht="13.5" customHeight="1"/>
    <row r="759" s="7" customFormat="1" ht="13.5" customHeight="1"/>
    <row r="760" s="7" customFormat="1" ht="13.5" customHeight="1"/>
    <row r="761" s="7" customFormat="1" ht="13.5" customHeight="1"/>
    <row r="762" s="7" customFormat="1" ht="13.5" customHeight="1"/>
    <row r="763" s="7" customFormat="1" ht="13.5" customHeight="1"/>
    <row r="764" s="7" customFormat="1" ht="13.5" customHeight="1"/>
    <row r="765" s="7" customFormat="1" ht="13.5" customHeight="1"/>
    <row r="766" s="7" customFormat="1" ht="13.5" customHeight="1"/>
    <row r="767" s="7" customFormat="1" ht="13.5" customHeight="1"/>
    <row r="768" s="7" customFormat="1" ht="13.5" customHeight="1"/>
    <row r="769" s="7" customFormat="1" ht="13.5" customHeight="1"/>
    <row r="770" s="7" customFormat="1" ht="13.5" customHeight="1"/>
    <row r="771" s="7" customFormat="1" ht="13.5" customHeight="1"/>
    <row r="772" s="7" customFormat="1" ht="13.5" customHeight="1"/>
    <row r="773" s="7" customFormat="1" ht="13.5" customHeight="1"/>
    <row r="774" s="7" customFormat="1" ht="13.5" customHeight="1"/>
    <row r="775" s="7" customFormat="1" ht="13.5" customHeight="1"/>
    <row r="776" s="7" customFormat="1" ht="13.5" customHeight="1"/>
    <row r="777" s="7" customFormat="1" ht="13.5" customHeight="1"/>
    <row r="778" s="7" customFormat="1" ht="13.5" customHeight="1"/>
    <row r="779" s="7" customFormat="1" ht="13.5" customHeight="1"/>
    <row r="780" s="7" customFormat="1" ht="13.5" customHeight="1"/>
    <row r="781" s="7" customFormat="1" ht="13.5" customHeight="1"/>
    <row r="782" s="7" customFormat="1" ht="13.5" customHeight="1"/>
    <row r="783" s="7" customFormat="1" ht="13.5" customHeight="1"/>
    <row r="784" s="7" customFormat="1" ht="13.5" customHeight="1"/>
    <row r="785" s="7" customFormat="1" ht="13.5" customHeight="1"/>
    <row r="786" s="7" customFormat="1" ht="13.5" customHeight="1"/>
    <row r="787" s="7" customFormat="1" ht="13.5" customHeight="1"/>
    <row r="788" s="7" customFormat="1" ht="13.5" customHeight="1"/>
    <row r="789" s="7" customFormat="1" ht="13.5" customHeight="1"/>
    <row r="790" s="7" customFormat="1" ht="13.5" customHeight="1"/>
    <row r="791" s="7" customFormat="1" ht="13.5" customHeight="1"/>
    <row r="792" s="7" customFormat="1" ht="13.5" customHeight="1"/>
    <row r="793" s="7" customFormat="1" ht="13.5" customHeight="1"/>
    <row r="794" s="7" customFormat="1" ht="13.5" customHeight="1"/>
    <row r="795" s="7" customFormat="1" ht="13.5" customHeight="1"/>
    <row r="796" s="7" customFormat="1" ht="13.5" customHeight="1"/>
    <row r="797" s="7" customFormat="1" ht="13.5" customHeight="1"/>
    <row r="798" s="7" customFormat="1" ht="13.5" customHeight="1"/>
    <row r="799" s="7" customFormat="1" ht="13.5" customHeight="1"/>
    <row r="800" s="7" customFormat="1" ht="13.5" customHeight="1"/>
    <row r="801" s="7" customFormat="1" ht="13.5" customHeight="1"/>
    <row r="802" s="7" customFormat="1" ht="13.5" customHeight="1"/>
    <row r="803" s="7" customFormat="1" ht="13.5" customHeight="1"/>
    <row r="804" s="7" customFormat="1" ht="13.5" customHeight="1"/>
    <row r="805" s="7" customFormat="1" ht="13.5" customHeight="1"/>
    <row r="806" s="7" customFormat="1" ht="13.5" customHeight="1"/>
    <row r="807" s="7" customFormat="1" ht="13.5" customHeight="1"/>
    <row r="808" s="7" customFormat="1" ht="13.5" customHeight="1"/>
    <row r="809" s="7" customFormat="1" ht="13.5" customHeight="1"/>
    <row r="810" s="7" customFormat="1" ht="13.5" customHeight="1"/>
    <row r="811" s="7" customFormat="1" ht="13.5" customHeight="1"/>
    <row r="812" s="7" customFormat="1" ht="13.5" customHeight="1"/>
    <row r="813" s="7" customFormat="1" ht="13.5" customHeight="1"/>
    <row r="814" s="7" customFormat="1" ht="13.5" customHeight="1"/>
    <row r="815" s="7" customFormat="1" ht="13.5" customHeight="1"/>
    <row r="816" s="7" customFormat="1" ht="13.5" customHeight="1"/>
    <row r="817" s="7" customFormat="1" ht="13.5" customHeight="1"/>
    <row r="818" s="7" customFormat="1" ht="13.5" customHeight="1"/>
    <row r="819" s="7" customFormat="1" ht="13.5" customHeight="1"/>
    <row r="820" s="7" customFormat="1" ht="13.5" customHeight="1"/>
    <row r="821" s="7" customFormat="1" ht="13.5" customHeight="1"/>
    <row r="822" s="7" customFormat="1" ht="13.5" customHeight="1"/>
    <row r="823" s="7" customFormat="1" ht="13.5" customHeight="1"/>
    <row r="824" s="7" customFormat="1" ht="13.5" customHeight="1"/>
    <row r="825" s="7" customFormat="1" ht="13.5" customHeight="1"/>
    <row r="826" s="7" customFormat="1" ht="13.5" customHeight="1"/>
    <row r="827" s="7" customFormat="1" ht="13.5" customHeight="1"/>
    <row r="828" s="7" customFormat="1" ht="13.5" customHeight="1"/>
    <row r="829" s="7" customFormat="1" ht="13.5" customHeight="1"/>
    <row r="830" s="7" customFormat="1" ht="13.5" customHeight="1"/>
    <row r="831" s="7" customFormat="1" ht="13.5" customHeight="1"/>
    <row r="832" s="7" customFormat="1" ht="13.5" customHeight="1"/>
    <row r="833" s="7" customFormat="1" ht="13.5" customHeight="1"/>
    <row r="834" s="7" customFormat="1" ht="13.5" customHeight="1"/>
    <row r="835" s="7" customFormat="1" ht="13.5" customHeight="1"/>
    <row r="836" s="7" customFormat="1" ht="13.5" customHeight="1"/>
    <row r="837" s="7" customFormat="1" ht="13.5" customHeight="1"/>
    <row r="838" s="7" customFormat="1" ht="13.5" customHeight="1"/>
    <row r="839" s="7" customFormat="1" ht="13.5" customHeight="1"/>
    <row r="840" s="7" customFormat="1" ht="13.5" customHeight="1"/>
    <row r="841" s="7" customFormat="1" ht="13.5" customHeight="1"/>
    <row r="842" s="7" customFormat="1" ht="13.5" customHeight="1"/>
    <row r="843" s="7" customFormat="1" ht="13.5" customHeight="1"/>
    <row r="844" s="7" customFormat="1" ht="13.5" customHeight="1"/>
    <row r="845" s="7" customFormat="1" ht="13.5" customHeight="1"/>
    <row r="846" s="7" customFormat="1" ht="13.5" customHeight="1"/>
    <row r="847" s="7" customFormat="1" ht="13.5" customHeight="1"/>
    <row r="848" s="7" customFormat="1" ht="13.5" customHeight="1"/>
    <row r="849" s="7" customFormat="1" ht="13.5" customHeight="1"/>
    <row r="850" s="7" customFormat="1" ht="13.5" customHeight="1"/>
    <row r="851" s="7" customFormat="1" ht="13.5" customHeight="1"/>
    <row r="852" s="7" customFormat="1" ht="13.5" customHeight="1"/>
    <row r="853" s="7" customFormat="1" ht="13.5" customHeight="1"/>
    <row r="854" s="7" customFormat="1" ht="13.5" customHeight="1"/>
    <row r="855" s="7" customFormat="1" ht="13.5" customHeight="1"/>
    <row r="856" s="7" customFormat="1" ht="13.5" customHeight="1"/>
    <row r="857" s="7" customFormat="1" ht="13.5" customHeight="1"/>
    <row r="858" s="7" customFormat="1" ht="13.5" customHeight="1"/>
    <row r="859" s="7" customFormat="1" ht="13.5" customHeight="1"/>
    <row r="860" s="7" customFormat="1" ht="13.5" customHeight="1"/>
    <row r="861" s="7" customFormat="1" ht="13.5" customHeight="1"/>
    <row r="862" s="7" customFormat="1" ht="13.5" customHeight="1"/>
    <row r="863" s="7" customFormat="1" ht="13.5" customHeight="1"/>
    <row r="864" s="7" customFormat="1" ht="13.5" customHeight="1"/>
    <row r="865" s="7" customFormat="1" ht="13.5" customHeight="1"/>
    <row r="866" s="7" customFormat="1" ht="13.5" customHeight="1"/>
    <row r="867" s="7" customFormat="1" ht="13.5" customHeight="1"/>
    <row r="868" s="7" customFormat="1" ht="13.5" customHeight="1"/>
    <row r="869" s="7" customFormat="1" ht="13.5" customHeight="1"/>
    <row r="870" s="7" customFormat="1" ht="13.5" customHeight="1"/>
    <row r="871" s="7" customFormat="1" ht="13.5" customHeight="1"/>
    <row r="872" s="7" customFormat="1" ht="13.5" customHeight="1"/>
    <row r="873" s="7" customFormat="1" ht="13.5" customHeight="1"/>
    <row r="874" s="7" customFormat="1" ht="13.5" customHeight="1"/>
    <row r="875" s="7" customFormat="1" ht="13.5" customHeight="1"/>
    <row r="876" s="7" customFormat="1" ht="13.5" customHeight="1"/>
    <row r="877" s="7" customFormat="1" ht="13.5" customHeight="1"/>
    <row r="878" s="7" customFormat="1" ht="13.5" customHeight="1"/>
    <row r="879" s="7" customFormat="1" ht="13.5" customHeight="1"/>
    <row r="880" s="7" customFormat="1" ht="13.5" customHeight="1"/>
    <row r="881" s="7" customFormat="1" ht="13.5" customHeight="1"/>
    <row r="882" s="7" customFormat="1" ht="13.5" customHeight="1"/>
    <row r="883" s="7" customFormat="1" ht="13.5" customHeight="1"/>
    <row r="884" s="7" customFormat="1" ht="13.5" customHeight="1"/>
    <row r="885" s="7" customFormat="1" ht="13.5" customHeight="1"/>
    <row r="886" s="7" customFormat="1" ht="13.5" customHeight="1"/>
    <row r="887" s="7" customFormat="1" ht="13.5" customHeight="1"/>
    <row r="888" s="7" customFormat="1" ht="13.5" customHeight="1"/>
    <row r="889" s="7" customFormat="1" ht="13.5" customHeight="1"/>
    <row r="890" s="7" customFormat="1" ht="13.5" customHeight="1"/>
    <row r="891" s="7" customFormat="1" ht="13.5" customHeight="1"/>
    <row r="892" s="7" customFormat="1" ht="13.5" customHeight="1"/>
    <row r="893" s="7" customFormat="1" ht="13.5" customHeight="1"/>
    <row r="894" s="7" customFormat="1" ht="13.5" customHeight="1"/>
    <row r="895" s="7" customFormat="1" ht="13.5" customHeight="1"/>
    <row r="896" s="7" customFormat="1" ht="13.5" customHeight="1"/>
    <row r="897" s="7" customFormat="1" ht="13.5" customHeight="1"/>
    <row r="898" s="7" customFormat="1" ht="13.5" customHeight="1"/>
    <row r="899" s="7" customFormat="1" ht="13.5" customHeight="1"/>
    <row r="900" s="7" customFormat="1" ht="13.5" customHeight="1"/>
    <row r="901" s="7" customFormat="1" ht="13.5" customHeight="1"/>
    <row r="902" s="7" customFormat="1" ht="13.5" customHeight="1"/>
    <row r="903" s="7" customFormat="1" ht="13.5" customHeight="1"/>
    <row r="904" s="7" customFormat="1" ht="13.5" customHeight="1"/>
    <row r="905" s="7" customFormat="1" ht="13.5" customHeight="1"/>
    <row r="906" s="7" customFormat="1" ht="13.5" customHeight="1"/>
    <row r="907" s="7" customFormat="1" ht="13.5" customHeight="1"/>
    <row r="908" s="7" customFormat="1" ht="13.5" customHeight="1"/>
    <row r="909" s="7" customFormat="1" ht="13.5" customHeight="1"/>
    <row r="910" s="7" customFormat="1" ht="13.5" customHeight="1"/>
    <row r="911" s="7" customFormat="1" ht="13.5" customHeight="1"/>
    <row r="912" s="7" customFormat="1" ht="13.5" customHeight="1"/>
    <row r="913" s="7" customFormat="1" ht="13.5" customHeight="1"/>
    <row r="914" s="7" customFormat="1" ht="13.5" customHeight="1"/>
    <row r="915" s="7" customFormat="1" ht="13.5" customHeight="1"/>
    <row r="916" s="7" customFormat="1" ht="13.5" customHeight="1"/>
    <row r="917" s="7" customFormat="1" ht="13.5" customHeight="1"/>
    <row r="918" s="7" customFormat="1" ht="13.5" customHeight="1"/>
    <row r="919" s="7" customFormat="1" ht="13.5" customHeight="1"/>
    <row r="920" s="7" customFormat="1" ht="13.5" customHeight="1"/>
    <row r="921" s="7" customFormat="1" ht="13.5" customHeight="1"/>
    <row r="922" s="7" customFormat="1" ht="13.5" customHeight="1"/>
    <row r="923" s="7" customFormat="1" ht="13.5" customHeight="1"/>
    <row r="924" s="7" customFormat="1" ht="13.5" customHeight="1"/>
    <row r="925" s="7" customFormat="1" ht="13.5" customHeight="1"/>
    <row r="926" s="7" customFormat="1" ht="13.5" customHeight="1"/>
    <row r="927" s="7" customFormat="1" ht="13.5" customHeight="1"/>
    <row r="928" s="7" customFormat="1" ht="13.5" customHeight="1"/>
    <row r="929" s="7" customFormat="1" ht="13.5" customHeight="1"/>
    <row r="930" s="7" customFormat="1" ht="13.5" customHeight="1"/>
    <row r="931" s="7" customFormat="1" ht="13.5" customHeight="1"/>
    <row r="932" s="7" customFormat="1" ht="13.5" customHeight="1"/>
    <row r="933" s="7" customFormat="1" ht="13.5" customHeight="1"/>
    <row r="934" s="7" customFormat="1" ht="13.5" customHeight="1"/>
    <row r="935" s="7" customFormat="1" ht="13.5" customHeight="1"/>
    <row r="936" s="7" customFormat="1" ht="13.5" customHeight="1"/>
    <row r="937" s="7" customFormat="1" ht="13.5" customHeight="1"/>
    <row r="938" s="7" customFormat="1" ht="13.5" customHeight="1"/>
    <row r="939" s="7" customFormat="1" ht="13.5" customHeight="1"/>
    <row r="940" s="7" customFormat="1" ht="13.5" customHeight="1"/>
    <row r="941" s="7" customFormat="1" ht="13.5" customHeight="1"/>
    <row r="942" s="7" customFormat="1" ht="13.5" customHeight="1"/>
    <row r="943" s="7" customFormat="1" ht="13.5" customHeight="1"/>
    <row r="944" s="7" customFormat="1" ht="13.5" customHeight="1"/>
    <row r="945" s="7" customFormat="1" ht="13.5" customHeight="1"/>
    <row r="946" s="7" customFormat="1" ht="13.5" customHeight="1"/>
    <row r="947" s="7" customFormat="1" ht="13.5" customHeight="1"/>
    <row r="948" s="7" customFormat="1" ht="13.5" customHeight="1"/>
    <row r="949" s="7" customFormat="1" ht="13.5" customHeight="1"/>
    <row r="950" s="7" customFormat="1" ht="13.5" customHeight="1"/>
    <row r="951" s="7" customFormat="1" ht="13.5" customHeight="1"/>
    <row r="952" s="7" customFormat="1" ht="13.5" customHeight="1"/>
    <row r="953" s="7" customFormat="1" ht="13.5" customHeight="1"/>
    <row r="954" s="7" customFormat="1" ht="13.5" customHeight="1"/>
    <row r="955" s="7" customFormat="1" ht="13.5" customHeight="1"/>
    <row r="956" s="7" customFormat="1" ht="13.5" customHeight="1"/>
    <row r="957" s="7" customFormat="1" ht="13.5" customHeight="1"/>
    <row r="958" s="7" customFormat="1" ht="13.5" customHeight="1"/>
    <row r="959" s="7" customFormat="1" ht="13.5" customHeight="1"/>
    <row r="960" s="7" customFormat="1" ht="13.5" customHeight="1"/>
    <row r="961" s="7" customFormat="1" ht="13.5" customHeight="1"/>
    <row r="962" s="7" customFormat="1" ht="13.5" customHeight="1"/>
    <row r="963" s="7" customFormat="1" ht="13.5" customHeight="1"/>
    <row r="964" s="7" customFormat="1" ht="13.5" customHeight="1"/>
    <row r="965" s="7" customFormat="1" ht="13.5" customHeight="1"/>
    <row r="966" s="7" customFormat="1" ht="13.5" customHeight="1"/>
    <row r="967" s="7" customFormat="1" ht="13.5" customHeight="1"/>
    <row r="968" s="7" customFormat="1" ht="13.5" customHeight="1"/>
    <row r="969" s="7" customFormat="1" ht="13.5" customHeight="1"/>
    <row r="970" s="7" customFormat="1" ht="13.5" customHeight="1"/>
    <row r="971" s="7" customFormat="1" ht="13.5" customHeight="1"/>
    <row r="972" s="7" customFormat="1" ht="13.5" customHeight="1"/>
    <row r="973" s="7" customFormat="1" ht="13.5" customHeight="1"/>
    <row r="974" s="7" customFormat="1" ht="13.5" customHeight="1"/>
    <row r="975" s="7" customFormat="1" ht="13.5" customHeight="1"/>
    <row r="976" s="7" customFormat="1" ht="13.5" customHeight="1"/>
    <row r="977" s="7" customFormat="1" ht="13.5" customHeight="1"/>
    <row r="978" s="7" customFormat="1" ht="13.5" customHeight="1"/>
    <row r="979" s="7" customFormat="1" ht="13.5" customHeight="1"/>
    <row r="980" s="7" customFormat="1" ht="13.5" customHeight="1"/>
    <row r="981" s="7" customFormat="1" ht="13.5" customHeight="1"/>
    <row r="982" s="7" customFormat="1" ht="13.5" customHeight="1"/>
    <row r="983" s="7" customFormat="1" ht="13.5" customHeight="1"/>
    <row r="984" s="7" customFormat="1" ht="13.5" customHeight="1"/>
    <row r="985" s="7" customFormat="1" ht="13.5" customHeight="1"/>
    <row r="986" s="7" customFormat="1" ht="13.5" customHeight="1"/>
    <row r="987" s="7" customFormat="1" ht="13.5" customHeight="1"/>
    <row r="988" s="7" customFormat="1" ht="13.5" customHeight="1"/>
    <row r="989" s="7" customFormat="1" ht="13.5" customHeight="1"/>
    <row r="990" s="7" customFormat="1" ht="13.5" customHeight="1"/>
    <row r="991" s="7" customFormat="1" ht="13.5" customHeight="1"/>
    <row r="992" s="7" customFormat="1" ht="13.5" customHeight="1"/>
    <row r="993" s="7" customFormat="1" ht="13.5" customHeight="1"/>
    <row r="994" s="7" customFormat="1" ht="13.5" customHeight="1"/>
    <row r="995" s="7" customFormat="1" ht="13.5" customHeight="1"/>
    <row r="996" s="7" customFormat="1" ht="13.5" customHeight="1"/>
    <row r="997" s="7" customFormat="1" ht="13.5" customHeight="1"/>
    <row r="998" s="7" customFormat="1" ht="13.5" customHeight="1"/>
    <row r="999" s="7" customFormat="1" ht="13.5" customHeight="1"/>
    <row r="1000" s="7" customFormat="1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999"/>
  <sheetViews>
    <sheetView showGridLines="0" topLeftCell="A26" workbookViewId="0">
      <selection activeCell="A35" sqref="A35:XFD35"/>
    </sheetView>
  </sheetViews>
  <sheetFormatPr defaultColWidth="12.6640625" defaultRowHeight="15" customHeight="1"/>
  <cols>
    <col min="1" max="1" width="46.4140625" style="7" customWidth="1"/>
    <col min="2" max="5" width="16.1640625" style="7" customWidth="1"/>
    <col min="6" max="6" width="18" style="7" customWidth="1"/>
    <col min="7" max="7" width="11.25" style="7" customWidth="1"/>
    <col min="8" max="10" width="17.4140625" style="7" customWidth="1"/>
    <col min="11" max="11" width="16.1640625" style="7" customWidth="1"/>
    <col min="12" max="12" width="18" style="7" customWidth="1"/>
    <col min="13" max="13" width="11.25" style="7" customWidth="1"/>
    <col min="14" max="14" width="16.1640625" style="7" customWidth="1"/>
    <col min="15" max="15" width="18" style="7" customWidth="1"/>
    <col min="16" max="16" width="11.25" style="7" customWidth="1"/>
    <col min="17" max="17" width="16.1640625" style="7" customWidth="1"/>
    <col min="18" max="18" width="18" style="7" customWidth="1"/>
    <col min="19" max="19" width="11.25" style="7" customWidth="1"/>
    <col min="20" max="20" width="16.1640625" style="7" customWidth="1"/>
    <col min="21" max="21" width="18" style="7" customWidth="1"/>
    <col min="22" max="22" width="11.25" style="7" customWidth="1"/>
    <col min="23" max="23" width="14.1640625" style="7" customWidth="1"/>
    <col min="24" max="24" width="16.25" style="7" customWidth="1"/>
    <col min="25" max="25" width="9.5" style="7" customWidth="1"/>
    <col min="26" max="26" width="14.1640625" style="7" customWidth="1"/>
    <col min="27" max="27" width="9.25" style="7" customWidth="1"/>
    <col min="28" max="28" width="10.6640625" style="7" customWidth="1"/>
    <col min="29" max="29" width="10.9140625" style="7" customWidth="1"/>
    <col min="30" max="30" width="9.4140625" style="7" customWidth="1"/>
    <col min="31" max="37" width="9.6640625" style="7" customWidth="1"/>
    <col min="38" max="16384" width="12.6640625" style="7"/>
  </cols>
  <sheetData>
    <row r="1" spans="1:37" s="373" customFormat="1" ht="13.5" customHeight="1">
      <c r="A1" s="225" t="s">
        <v>133</v>
      </c>
      <c r="B1" s="226"/>
      <c r="C1" s="226"/>
      <c r="D1" s="226"/>
      <c r="E1" s="226"/>
      <c r="F1" s="226"/>
      <c r="G1" s="226"/>
      <c r="H1" s="226"/>
      <c r="I1" s="226"/>
      <c r="J1" s="226"/>
      <c r="K1" s="225"/>
      <c r="L1" s="225"/>
      <c r="M1" s="225"/>
      <c r="N1" s="225"/>
      <c r="O1" s="225"/>
      <c r="P1" s="225"/>
      <c r="Q1" s="225"/>
      <c r="R1" s="225"/>
      <c r="S1" s="225"/>
      <c r="T1" s="226"/>
      <c r="U1" s="226"/>
      <c r="V1" s="226"/>
    </row>
    <row r="2" spans="1:37" s="373" customFormat="1" ht="13.5" customHeight="1">
      <c r="A2" s="422"/>
      <c r="B2" s="423"/>
      <c r="C2" s="423"/>
      <c r="D2" s="423"/>
      <c r="E2" s="423"/>
      <c r="F2" s="423"/>
      <c r="G2" s="423"/>
      <c r="H2" s="423"/>
      <c r="I2" s="423"/>
      <c r="J2" s="423"/>
      <c r="K2" s="392"/>
      <c r="L2" s="392"/>
      <c r="M2" s="392"/>
      <c r="N2" s="392"/>
      <c r="O2" s="392"/>
      <c r="P2" s="392"/>
      <c r="Q2" s="392"/>
      <c r="R2" s="392"/>
      <c r="S2" s="392"/>
      <c r="T2" s="226"/>
      <c r="U2" s="226"/>
      <c r="V2" s="226"/>
    </row>
    <row r="3" spans="1:37" ht="13.5" customHeight="1">
      <c r="A3" s="227"/>
      <c r="B3" s="228" t="s">
        <v>2</v>
      </c>
      <c r="C3" s="228"/>
      <c r="D3" s="229"/>
      <c r="E3" s="228"/>
      <c r="F3" s="230" t="s">
        <v>3</v>
      </c>
      <c r="G3" s="229"/>
      <c r="H3" s="231"/>
      <c r="I3" s="230" t="s">
        <v>4</v>
      </c>
      <c r="J3" s="229"/>
      <c r="K3" s="231"/>
      <c r="L3" s="232" t="s">
        <v>5</v>
      </c>
      <c r="M3" s="229"/>
      <c r="N3" s="233" t="s">
        <v>6</v>
      </c>
      <c r="O3" s="234"/>
      <c r="P3" s="235"/>
      <c r="Q3" s="233" t="s">
        <v>7</v>
      </c>
      <c r="R3" s="234"/>
      <c r="S3" s="235"/>
      <c r="T3" s="233" t="s">
        <v>8</v>
      </c>
      <c r="U3" s="234"/>
      <c r="V3" s="235"/>
      <c r="W3" s="233" t="s">
        <v>9</v>
      </c>
      <c r="X3" s="234"/>
      <c r="Y3" s="235"/>
      <c r="Z3" s="233" t="s">
        <v>10</v>
      </c>
      <c r="AA3" s="234"/>
      <c r="AB3" s="235"/>
      <c r="AC3" s="233" t="s">
        <v>11</v>
      </c>
      <c r="AD3" s="234"/>
      <c r="AE3" s="235"/>
      <c r="AF3" s="233" t="s">
        <v>12</v>
      </c>
      <c r="AG3" s="234"/>
      <c r="AH3" s="236"/>
      <c r="AI3" s="237"/>
      <c r="AJ3" s="237"/>
      <c r="AK3" s="237"/>
    </row>
    <row r="4" spans="1:37" ht="13.5" customHeight="1">
      <c r="A4" s="238"/>
      <c r="B4" s="239" t="s">
        <v>134</v>
      </c>
      <c r="C4" s="240" t="s">
        <v>135</v>
      </c>
      <c r="D4" s="241" t="s">
        <v>136</v>
      </c>
      <c r="E4" s="242" t="s">
        <v>134</v>
      </c>
      <c r="F4" s="240" t="s">
        <v>135</v>
      </c>
      <c r="G4" s="241" t="s">
        <v>136</v>
      </c>
      <c r="H4" s="242" t="s">
        <v>134</v>
      </c>
      <c r="I4" s="240" t="s">
        <v>135</v>
      </c>
      <c r="J4" s="241" t="s">
        <v>136</v>
      </c>
      <c r="K4" s="242" t="s">
        <v>134</v>
      </c>
      <c r="L4" s="240" t="s">
        <v>135</v>
      </c>
      <c r="M4" s="241" t="s">
        <v>136</v>
      </c>
      <c r="N4" s="242" t="s">
        <v>134</v>
      </c>
      <c r="O4" s="240" t="s">
        <v>135</v>
      </c>
      <c r="P4" s="241" t="s">
        <v>136</v>
      </c>
      <c r="Q4" s="242" t="s">
        <v>134</v>
      </c>
      <c r="R4" s="240" t="s">
        <v>135</v>
      </c>
      <c r="S4" s="241" t="s">
        <v>136</v>
      </c>
      <c r="T4" s="242" t="s">
        <v>134</v>
      </c>
      <c r="U4" s="240" t="s">
        <v>135</v>
      </c>
      <c r="V4" s="241" t="s">
        <v>136</v>
      </c>
      <c r="W4" s="242" t="s">
        <v>134</v>
      </c>
      <c r="X4" s="240" t="s">
        <v>135</v>
      </c>
      <c r="Y4" s="241" t="s">
        <v>136</v>
      </c>
      <c r="Z4" s="242" t="s">
        <v>134</v>
      </c>
      <c r="AA4" s="240" t="s">
        <v>135</v>
      </c>
      <c r="AB4" s="241" t="s">
        <v>136</v>
      </c>
      <c r="AC4" s="242" t="s">
        <v>134</v>
      </c>
      <c r="AD4" s="240" t="s">
        <v>135</v>
      </c>
      <c r="AE4" s="243" t="s">
        <v>136</v>
      </c>
      <c r="AF4" s="242" t="s">
        <v>134</v>
      </c>
      <c r="AG4" s="240" t="s">
        <v>135</v>
      </c>
      <c r="AH4" s="244" t="s">
        <v>136</v>
      </c>
      <c r="AI4" s="245"/>
      <c r="AJ4" s="245"/>
      <c r="AK4" s="245"/>
    </row>
    <row r="5" spans="1:37" ht="13.5" customHeight="1">
      <c r="A5" s="246"/>
      <c r="B5" s="121"/>
      <c r="C5" s="123"/>
      <c r="D5" s="247"/>
      <c r="E5" s="248"/>
      <c r="F5" s="123"/>
      <c r="G5" s="247"/>
      <c r="H5" s="248"/>
      <c r="I5" s="123"/>
      <c r="J5" s="247"/>
      <c r="K5" s="248"/>
      <c r="L5" s="123"/>
      <c r="M5" s="247"/>
      <c r="N5" s="248"/>
      <c r="O5" s="123"/>
      <c r="P5" s="247"/>
      <c r="Q5" s="248"/>
      <c r="R5" s="123"/>
      <c r="S5" s="247"/>
      <c r="T5" s="248"/>
      <c r="U5" s="123"/>
      <c r="V5" s="247"/>
      <c r="W5" s="248"/>
      <c r="X5" s="123"/>
      <c r="Y5" s="247"/>
      <c r="Z5" s="248"/>
      <c r="AA5" s="123"/>
      <c r="AB5" s="247"/>
      <c r="AC5" s="248"/>
      <c r="AD5" s="123"/>
      <c r="AE5" s="249"/>
      <c r="AF5" s="248"/>
      <c r="AG5" s="123"/>
      <c r="AH5" s="250"/>
      <c r="AI5" s="245"/>
      <c r="AJ5" s="245"/>
      <c r="AK5" s="245"/>
    </row>
    <row r="6" spans="1:37" ht="13.5" customHeight="1">
      <c r="A6" s="251" t="s">
        <v>479</v>
      </c>
      <c r="B6" s="252" t="s">
        <v>137</v>
      </c>
      <c r="C6" s="252" t="s">
        <v>138</v>
      </c>
      <c r="D6" s="252" t="s">
        <v>139</v>
      </c>
      <c r="E6" s="253">
        <v>145684.37</v>
      </c>
      <c r="F6" s="252">
        <v>83510.92</v>
      </c>
      <c r="G6" s="252">
        <v>229195.29</v>
      </c>
      <c r="H6" s="253">
        <v>166588.45000000001</v>
      </c>
      <c r="I6" s="252">
        <v>61547.32</v>
      </c>
      <c r="J6" s="252">
        <v>228135.76</v>
      </c>
      <c r="K6" s="253">
        <v>161097.87</v>
      </c>
      <c r="L6" s="252">
        <v>60516.7</v>
      </c>
      <c r="M6" s="252">
        <v>221614.57</v>
      </c>
      <c r="N6" s="253">
        <v>128908.06</v>
      </c>
      <c r="O6" s="252">
        <v>132248.94</v>
      </c>
      <c r="P6" s="252">
        <v>261157</v>
      </c>
      <c r="Q6" s="253">
        <v>176258.8</v>
      </c>
      <c r="R6" s="252">
        <v>113965.92</v>
      </c>
      <c r="S6" s="252">
        <v>290224.71999999997</v>
      </c>
      <c r="T6" s="253">
        <v>307796.32</v>
      </c>
      <c r="U6" s="252">
        <v>68302.149999999994</v>
      </c>
      <c r="V6" s="252">
        <v>376098.47</v>
      </c>
      <c r="W6" s="253">
        <v>358616.7</v>
      </c>
      <c r="X6" s="252">
        <v>69975.710000000006</v>
      </c>
      <c r="Y6" s="252">
        <v>428592.41</v>
      </c>
      <c r="Z6" s="253">
        <v>305953.83</v>
      </c>
      <c r="AA6" s="252">
        <v>89708.94</v>
      </c>
      <c r="AB6" s="252">
        <v>395662.77</v>
      </c>
      <c r="AC6" s="253">
        <v>377112.49</v>
      </c>
      <c r="AD6" s="252">
        <v>151964.95000000001</v>
      </c>
      <c r="AE6" s="252">
        <v>529077.43999999994</v>
      </c>
      <c r="AF6" s="253">
        <v>400989.738671</v>
      </c>
      <c r="AG6" s="252">
        <v>211150.44233399999</v>
      </c>
      <c r="AH6" s="254">
        <v>612140.18100500002</v>
      </c>
      <c r="AI6" s="252"/>
      <c r="AJ6" s="252"/>
      <c r="AK6" s="252"/>
    </row>
    <row r="7" spans="1:37" ht="13.5" customHeight="1">
      <c r="A7" s="204" t="s">
        <v>140</v>
      </c>
      <c r="B7" s="253" t="s">
        <v>141</v>
      </c>
      <c r="C7" s="252" t="s">
        <v>21</v>
      </c>
      <c r="D7" s="252" t="s">
        <v>141</v>
      </c>
      <c r="E7" s="253">
        <v>450654.1</v>
      </c>
      <c r="F7" s="252" t="s">
        <v>21</v>
      </c>
      <c r="G7" s="252">
        <v>450654.1</v>
      </c>
      <c r="H7" s="253">
        <v>668225.04</v>
      </c>
      <c r="I7" s="252" t="s">
        <v>21</v>
      </c>
      <c r="J7" s="252">
        <v>668225.04</v>
      </c>
      <c r="K7" s="253">
        <v>846358.14</v>
      </c>
      <c r="L7" s="252" t="s">
        <v>21</v>
      </c>
      <c r="M7" s="252">
        <v>846358.14</v>
      </c>
      <c r="N7" s="253">
        <v>437202</v>
      </c>
      <c r="O7" s="252">
        <v>0</v>
      </c>
      <c r="P7" s="252">
        <v>437202</v>
      </c>
      <c r="Q7" s="253">
        <v>495141.88</v>
      </c>
      <c r="R7" s="252">
        <v>0</v>
      </c>
      <c r="S7" s="252">
        <v>495141.88</v>
      </c>
      <c r="T7" s="253">
        <v>577661.41</v>
      </c>
      <c r="U7" s="252">
        <v>0</v>
      </c>
      <c r="V7" s="252">
        <v>577661.41</v>
      </c>
      <c r="W7" s="253">
        <v>684508.28</v>
      </c>
      <c r="X7" s="252">
        <v>0</v>
      </c>
      <c r="Y7" s="252">
        <v>684508.28</v>
      </c>
      <c r="Z7" s="253">
        <v>840731.5</v>
      </c>
      <c r="AA7" s="252" t="s">
        <v>22</v>
      </c>
      <c r="AB7" s="252">
        <v>840731.5</v>
      </c>
      <c r="AC7" s="253">
        <v>995119</v>
      </c>
      <c r="AD7" s="252">
        <v>0</v>
      </c>
      <c r="AE7" s="252">
        <v>995119</v>
      </c>
      <c r="AF7" s="253">
        <v>851421.39559099998</v>
      </c>
      <c r="AG7" s="252">
        <v>0</v>
      </c>
      <c r="AH7" s="254">
        <v>851421.39559099998</v>
      </c>
      <c r="AI7" s="252"/>
      <c r="AJ7" s="252"/>
      <c r="AK7" s="252"/>
    </row>
    <row r="8" spans="1:37" ht="13.5" customHeight="1">
      <c r="A8" s="204" t="s">
        <v>142</v>
      </c>
      <c r="B8" s="253" t="s">
        <v>143</v>
      </c>
      <c r="C8" s="252" t="s">
        <v>21</v>
      </c>
      <c r="D8" s="252" t="s">
        <v>143</v>
      </c>
      <c r="E8" s="253">
        <v>302198.52</v>
      </c>
      <c r="F8" s="252" t="s">
        <v>21</v>
      </c>
      <c r="G8" s="252">
        <v>302198.52</v>
      </c>
      <c r="H8" s="253">
        <v>345681.02</v>
      </c>
      <c r="I8" s="252" t="s">
        <v>21</v>
      </c>
      <c r="J8" s="252">
        <v>345681.02</v>
      </c>
      <c r="K8" s="253">
        <v>372481.38</v>
      </c>
      <c r="L8" s="252" t="s">
        <v>21</v>
      </c>
      <c r="M8" s="252">
        <v>372481.38</v>
      </c>
      <c r="N8" s="253">
        <v>325278.06</v>
      </c>
      <c r="O8" s="252">
        <v>0</v>
      </c>
      <c r="P8" s="252">
        <v>325278.06</v>
      </c>
      <c r="Q8" s="253">
        <v>398992.75</v>
      </c>
      <c r="R8" s="252">
        <v>0</v>
      </c>
      <c r="S8" s="252">
        <v>398992.75</v>
      </c>
      <c r="T8" s="253">
        <v>401237.07</v>
      </c>
      <c r="U8" s="252">
        <v>0</v>
      </c>
      <c r="V8" s="252">
        <v>401237.07</v>
      </c>
      <c r="W8" s="253">
        <v>415773.86</v>
      </c>
      <c r="X8" s="252">
        <v>0</v>
      </c>
      <c r="Y8" s="252">
        <v>415773.86</v>
      </c>
      <c r="Z8" s="253">
        <v>380388.14</v>
      </c>
      <c r="AA8" s="252" t="s">
        <v>22</v>
      </c>
      <c r="AB8" s="252">
        <v>380388.14</v>
      </c>
      <c r="AC8" s="253">
        <v>444570.49</v>
      </c>
      <c r="AD8" s="252">
        <v>0</v>
      </c>
      <c r="AE8" s="252">
        <v>444570.49</v>
      </c>
      <c r="AF8" s="253">
        <v>246268.214714</v>
      </c>
      <c r="AG8" s="252">
        <v>0</v>
      </c>
      <c r="AH8" s="254">
        <v>246268.214714</v>
      </c>
      <c r="AI8" s="252"/>
      <c r="AJ8" s="252"/>
      <c r="AK8" s="252"/>
    </row>
    <row r="9" spans="1:37" ht="13.5" customHeight="1">
      <c r="A9" s="204" t="s">
        <v>144</v>
      </c>
      <c r="B9" s="253" t="s">
        <v>145</v>
      </c>
      <c r="C9" s="252" t="s">
        <v>21</v>
      </c>
      <c r="D9" s="252" t="s">
        <v>145</v>
      </c>
      <c r="E9" s="253">
        <v>129207.21</v>
      </c>
      <c r="F9" s="252" t="s">
        <v>21</v>
      </c>
      <c r="G9" s="252">
        <v>129207.21</v>
      </c>
      <c r="H9" s="253">
        <v>146267.88</v>
      </c>
      <c r="I9" s="252" t="s">
        <v>21</v>
      </c>
      <c r="J9" s="252">
        <v>146267.88</v>
      </c>
      <c r="K9" s="253">
        <v>142264.75</v>
      </c>
      <c r="L9" s="252" t="s">
        <v>21</v>
      </c>
      <c r="M9" s="252">
        <v>142264.75</v>
      </c>
      <c r="N9" s="253">
        <v>138018.07999999999</v>
      </c>
      <c r="O9" s="252">
        <v>0</v>
      </c>
      <c r="P9" s="252">
        <v>138018.07999999999</v>
      </c>
      <c r="Q9" s="253">
        <v>157672.82999999999</v>
      </c>
      <c r="R9" s="252">
        <v>0</v>
      </c>
      <c r="S9" s="252">
        <v>157672.82999999999</v>
      </c>
      <c r="T9" s="253">
        <v>175798.33</v>
      </c>
      <c r="U9" s="252">
        <v>0</v>
      </c>
      <c r="V9" s="252">
        <v>175798.33</v>
      </c>
      <c r="W9" s="253">
        <v>163414.35</v>
      </c>
      <c r="X9" s="252">
        <v>0</v>
      </c>
      <c r="Y9" s="252">
        <v>163414.35</v>
      </c>
      <c r="Z9" s="253">
        <v>241517.57</v>
      </c>
      <c r="AA9" s="252" t="s">
        <v>22</v>
      </c>
      <c r="AB9" s="252">
        <v>241517.57</v>
      </c>
      <c r="AC9" s="253">
        <v>231366.66</v>
      </c>
      <c r="AD9" s="252">
        <v>0</v>
      </c>
      <c r="AE9" s="252">
        <v>231366.66</v>
      </c>
      <c r="AF9" s="253">
        <v>236074.87725999998</v>
      </c>
      <c r="AG9" s="252">
        <v>4934</v>
      </c>
      <c r="AH9" s="254">
        <v>241008.87725999998</v>
      </c>
      <c r="AI9" s="252"/>
      <c r="AJ9" s="252"/>
      <c r="AK9" s="252"/>
    </row>
    <row r="10" spans="1:37" ht="13.5" customHeight="1">
      <c r="A10" s="204" t="s">
        <v>146</v>
      </c>
      <c r="B10" s="253" t="s">
        <v>147</v>
      </c>
      <c r="C10" s="252" t="s">
        <v>148</v>
      </c>
      <c r="D10" s="252" t="s">
        <v>149</v>
      </c>
      <c r="E10" s="253">
        <v>118800.7</v>
      </c>
      <c r="F10" s="252">
        <v>17431.71</v>
      </c>
      <c r="G10" s="252">
        <v>136232.41</v>
      </c>
      <c r="H10" s="253">
        <v>135076.32</v>
      </c>
      <c r="I10" s="252">
        <v>14968.47</v>
      </c>
      <c r="J10" s="252">
        <v>150044.79999999999</v>
      </c>
      <c r="K10" s="253">
        <v>150161.51999999999</v>
      </c>
      <c r="L10" s="252">
        <v>16410.78</v>
      </c>
      <c r="M10" s="252">
        <v>166572.31</v>
      </c>
      <c r="N10" s="253">
        <v>161726.79</v>
      </c>
      <c r="O10" s="252">
        <v>9304.08</v>
      </c>
      <c r="P10" s="252">
        <v>171030.87</v>
      </c>
      <c r="Q10" s="253">
        <v>155332.20000000001</v>
      </c>
      <c r="R10" s="252">
        <v>4963.24</v>
      </c>
      <c r="S10" s="252">
        <v>160295.44</v>
      </c>
      <c r="T10" s="253">
        <v>179899.53</v>
      </c>
      <c r="U10" s="252">
        <v>7986.51</v>
      </c>
      <c r="V10" s="252">
        <v>187886.04</v>
      </c>
      <c r="W10" s="253">
        <v>178400.12</v>
      </c>
      <c r="X10" s="252">
        <v>4587.88</v>
      </c>
      <c r="Y10" s="252">
        <v>182988</v>
      </c>
      <c r="Z10" s="253">
        <v>195518.42</v>
      </c>
      <c r="AA10" s="252">
        <v>14051.05</v>
      </c>
      <c r="AB10" s="252">
        <v>209569.47</v>
      </c>
      <c r="AC10" s="253">
        <v>227004.49</v>
      </c>
      <c r="AD10" s="252">
        <v>11349.84</v>
      </c>
      <c r="AE10" s="252">
        <v>238354.33</v>
      </c>
      <c r="AF10" s="253">
        <v>309565.81615800003</v>
      </c>
      <c r="AG10" s="252">
        <v>18893.871553999998</v>
      </c>
      <c r="AH10" s="254">
        <v>328459.68771200004</v>
      </c>
      <c r="AI10" s="252"/>
      <c r="AJ10" s="252"/>
      <c r="AK10" s="252"/>
    </row>
    <row r="11" spans="1:37" ht="13.5" customHeight="1">
      <c r="A11" s="204" t="s">
        <v>150</v>
      </c>
      <c r="B11" s="253" t="s">
        <v>151</v>
      </c>
      <c r="C11" s="252" t="s">
        <v>152</v>
      </c>
      <c r="D11" s="252" t="s">
        <v>153</v>
      </c>
      <c r="E11" s="253">
        <v>86556.53</v>
      </c>
      <c r="F11" s="252">
        <v>400242.51</v>
      </c>
      <c r="G11" s="252">
        <v>486799.04</v>
      </c>
      <c r="H11" s="253">
        <v>91434.01</v>
      </c>
      <c r="I11" s="252">
        <v>290143.90000000002</v>
      </c>
      <c r="J11" s="252">
        <v>381577.91</v>
      </c>
      <c r="K11" s="253">
        <v>104900.19</v>
      </c>
      <c r="L11" s="252">
        <v>339139.19</v>
      </c>
      <c r="M11" s="252">
        <v>444039.38</v>
      </c>
      <c r="N11" s="253">
        <v>129006.56</v>
      </c>
      <c r="O11" s="252">
        <v>305481.93</v>
      </c>
      <c r="P11" s="252">
        <v>434488.5</v>
      </c>
      <c r="Q11" s="253">
        <v>123229.37</v>
      </c>
      <c r="R11" s="252">
        <v>311300.69</v>
      </c>
      <c r="S11" s="252">
        <v>434530.06</v>
      </c>
      <c r="T11" s="253">
        <v>211897.45</v>
      </c>
      <c r="U11" s="252">
        <v>276770.90000000002</v>
      </c>
      <c r="V11" s="252">
        <v>488668.35</v>
      </c>
      <c r="W11" s="253">
        <v>198095.29</v>
      </c>
      <c r="X11" s="252">
        <v>233834.08</v>
      </c>
      <c r="Y11" s="252">
        <v>431929.37</v>
      </c>
      <c r="Z11" s="253">
        <v>176743.35</v>
      </c>
      <c r="AA11" s="252">
        <v>257770.78</v>
      </c>
      <c r="AB11" s="252">
        <v>434514.13</v>
      </c>
      <c r="AC11" s="253">
        <v>166939.39000000001</v>
      </c>
      <c r="AD11" s="252">
        <v>232853.93</v>
      </c>
      <c r="AE11" s="252">
        <v>399793.32</v>
      </c>
      <c r="AF11" s="253">
        <v>241129.63595000003</v>
      </c>
      <c r="AG11" s="252">
        <v>365475.59561700001</v>
      </c>
      <c r="AH11" s="254">
        <v>606605.23156700004</v>
      </c>
      <c r="AI11" s="252"/>
      <c r="AJ11" s="252"/>
      <c r="AK11" s="252"/>
    </row>
    <row r="12" spans="1:37" ht="13.5" customHeight="1">
      <c r="A12" s="255" t="s">
        <v>154</v>
      </c>
      <c r="B12" s="253" t="s">
        <v>155</v>
      </c>
      <c r="C12" s="252" t="s">
        <v>156</v>
      </c>
      <c r="D12" s="252" t="s">
        <v>157</v>
      </c>
      <c r="E12" s="253">
        <v>14252.94</v>
      </c>
      <c r="F12" s="252">
        <v>8386.24</v>
      </c>
      <c r="G12" s="252">
        <v>22639.18</v>
      </c>
      <c r="H12" s="253">
        <v>10693.62</v>
      </c>
      <c r="I12" s="252">
        <v>7843.01</v>
      </c>
      <c r="J12" s="252">
        <v>18536.63</v>
      </c>
      <c r="K12" s="253">
        <v>10002.44</v>
      </c>
      <c r="L12" s="252">
        <v>8082.84</v>
      </c>
      <c r="M12" s="252">
        <v>18085.27</v>
      </c>
      <c r="N12" s="253">
        <v>22572.42</v>
      </c>
      <c r="O12" s="252">
        <v>22308.61</v>
      </c>
      <c r="P12" s="252">
        <v>44881.03</v>
      </c>
      <c r="Q12" s="253">
        <v>16340.88</v>
      </c>
      <c r="R12" s="252">
        <v>10424.25</v>
      </c>
      <c r="S12" s="252">
        <v>26765.13</v>
      </c>
      <c r="T12" s="253">
        <v>22051.14</v>
      </c>
      <c r="U12" s="252">
        <v>11258.4</v>
      </c>
      <c r="V12" s="252">
        <v>33309.54</v>
      </c>
      <c r="W12" s="253">
        <v>24406.06</v>
      </c>
      <c r="X12" s="252">
        <v>19726.05</v>
      </c>
      <c r="Y12" s="252">
        <v>44132.11</v>
      </c>
      <c r="Z12" s="253">
        <v>25298.78</v>
      </c>
      <c r="AA12" s="252">
        <v>18969.86</v>
      </c>
      <c r="AB12" s="252">
        <v>44268.63</v>
      </c>
      <c r="AC12" s="253">
        <v>28353.68</v>
      </c>
      <c r="AD12" s="252">
        <v>13889.6</v>
      </c>
      <c r="AE12" s="252">
        <v>42243.28</v>
      </c>
      <c r="AF12" s="253">
        <v>33153.758497000003</v>
      </c>
      <c r="AG12" s="252">
        <v>15983.842188000001</v>
      </c>
      <c r="AH12" s="254">
        <v>49137.600685000005</v>
      </c>
      <c r="AI12" s="252"/>
      <c r="AJ12" s="252"/>
      <c r="AK12" s="252"/>
    </row>
    <row r="13" spans="1:37" ht="13.5" customHeight="1">
      <c r="A13" s="255" t="s">
        <v>158</v>
      </c>
      <c r="B13" s="253" t="s">
        <v>159</v>
      </c>
      <c r="C13" s="252" t="s">
        <v>160</v>
      </c>
      <c r="D13" s="252" t="s">
        <v>161</v>
      </c>
      <c r="E13" s="253">
        <v>19624.080000000002</v>
      </c>
      <c r="F13" s="252">
        <v>20718.25</v>
      </c>
      <c r="G13" s="252">
        <v>40342.33</v>
      </c>
      <c r="H13" s="253">
        <v>25652.29</v>
      </c>
      <c r="I13" s="252">
        <v>18059.14</v>
      </c>
      <c r="J13" s="252">
        <v>43711.43</v>
      </c>
      <c r="K13" s="253">
        <v>28341.19</v>
      </c>
      <c r="L13" s="252">
        <v>25850.55</v>
      </c>
      <c r="M13" s="252">
        <v>54191.74</v>
      </c>
      <c r="N13" s="253">
        <v>20267.810000000001</v>
      </c>
      <c r="O13" s="252">
        <v>35247.61</v>
      </c>
      <c r="P13" s="252">
        <v>55515.42</v>
      </c>
      <c r="Q13" s="253">
        <v>31490.52</v>
      </c>
      <c r="R13" s="252">
        <v>36121.81</v>
      </c>
      <c r="S13" s="252">
        <v>67612.34</v>
      </c>
      <c r="T13" s="253">
        <v>18027.95</v>
      </c>
      <c r="U13" s="252">
        <v>48859.11</v>
      </c>
      <c r="V13" s="252">
        <v>66887.06</v>
      </c>
      <c r="W13" s="253">
        <v>27218.74</v>
      </c>
      <c r="X13" s="252">
        <v>50131.86</v>
      </c>
      <c r="Y13" s="252">
        <v>77350.600000000006</v>
      </c>
      <c r="Z13" s="253">
        <v>27201.51</v>
      </c>
      <c r="AA13" s="252">
        <v>65888.19</v>
      </c>
      <c r="AB13" s="252">
        <v>93089.7</v>
      </c>
      <c r="AC13" s="253">
        <v>34518.93</v>
      </c>
      <c r="AD13" s="252">
        <v>53475.15</v>
      </c>
      <c r="AE13" s="252">
        <v>87994.07</v>
      </c>
      <c r="AF13" s="253">
        <v>48619.198025999998</v>
      </c>
      <c r="AG13" s="252">
        <v>48393.491769</v>
      </c>
      <c r="AH13" s="254">
        <v>97012.689794999998</v>
      </c>
      <c r="AI13" s="252"/>
      <c r="AJ13" s="252"/>
      <c r="AK13" s="252"/>
    </row>
    <row r="14" spans="1:37" ht="13.5" customHeight="1">
      <c r="A14" s="255" t="s">
        <v>162</v>
      </c>
      <c r="B14" s="253" t="s">
        <v>163</v>
      </c>
      <c r="C14" s="252" t="s">
        <v>164</v>
      </c>
      <c r="D14" s="252" t="s">
        <v>165</v>
      </c>
      <c r="E14" s="253">
        <v>2179.19</v>
      </c>
      <c r="F14" s="252">
        <v>80950.850000000006</v>
      </c>
      <c r="G14" s="252">
        <v>83130.039999999994</v>
      </c>
      <c r="H14" s="253">
        <v>1880.1</v>
      </c>
      <c r="I14" s="252">
        <v>76265.13</v>
      </c>
      <c r="J14" s="252">
        <v>78145.23</v>
      </c>
      <c r="K14" s="253">
        <v>2359.56</v>
      </c>
      <c r="L14" s="252">
        <v>50750.55</v>
      </c>
      <c r="M14" s="252">
        <v>53110.11</v>
      </c>
      <c r="N14" s="253">
        <v>2481.06</v>
      </c>
      <c r="O14" s="252">
        <v>49858.86</v>
      </c>
      <c r="P14" s="252">
        <v>52339.92</v>
      </c>
      <c r="Q14" s="253">
        <v>3558.49</v>
      </c>
      <c r="R14" s="252">
        <v>53752.72</v>
      </c>
      <c r="S14" s="252">
        <v>57311.21</v>
      </c>
      <c r="T14" s="253">
        <v>11011.2</v>
      </c>
      <c r="U14" s="252">
        <v>27983.79</v>
      </c>
      <c r="V14" s="252">
        <v>38994.99</v>
      </c>
      <c r="W14" s="253">
        <v>4243.8</v>
      </c>
      <c r="X14" s="252">
        <v>25415.73</v>
      </c>
      <c r="Y14" s="252">
        <v>29659.53</v>
      </c>
      <c r="Z14" s="253">
        <v>49759.39</v>
      </c>
      <c r="AA14" s="252">
        <v>28426.560000000001</v>
      </c>
      <c r="AB14" s="252">
        <v>78185.95</v>
      </c>
      <c r="AC14" s="253">
        <v>23028.1</v>
      </c>
      <c r="AD14" s="252">
        <v>27757.87</v>
      </c>
      <c r="AE14" s="252">
        <v>50785.98</v>
      </c>
      <c r="AF14" s="253">
        <v>37342.893862999998</v>
      </c>
      <c r="AG14" s="252">
        <v>56796.912644000004</v>
      </c>
      <c r="AH14" s="254">
        <v>94139.806507000001</v>
      </c>
      <c r="AI14" s="252"/>
      <c r="AJ14" s="252"/>
      <c r="AK14" s="252"/>
    </row>
    <row r="15" spans="1:37" ht="13.5" customHeight="1">
      <c r="A15" s="255" t="s">
        <v>166</v>
      </c>
      <c r="B15" s="253" t="s">
        <v>167</v>
      </c>
      <c r="C15" s="252" t="s">
        <v>168</v>
      </c>
      <c r="D15" s="252" t="s">
        <v>169</v>
      </c>
      <c r="E15" s="253">
        <v>622.59</v>
      </c>
      <c r="F15" s="252">
        <v>930</v>
      </c>
      <c r="G15" s="252">
        <v>1552.58</v>
      </c>
      <c r="H15" s="253">
        <v>1381.25</v>
      </c>
      <c r="I15" s="252">
        <v>130</v>
      </c>
      <c r="J15" s="252">
        <v>1511.25</v>
      </c>
      <c r="K15" s="253">
        <v>1000.16</v>
      </c>
      <c r="L15" s="252">
        <v>324.13</v>
      </c>
      <c r="M15" s="252">
        <v>1324.29</v>
      </c>
      <c r="N15" s="253">
        <v>2133.5300000000002</v>
      </c>
      <c r="O15" s="252">
        <v>316.85000000000002</v>
      </c>
      <c r="P15" s="252">
        <v>2450.38</v>
      </c>
      <c r="Q15" s="253">
        <v>506.35</v>
      </c>
      <c r="R15" s="252">
        <v>76.459999999999994</v>
      </c>
      <c r="S15" s="252">
        <v>582.80999999999995</v>
      </c>
      <c r="T15" s="253">
        <v>506.07</v>
      </c>
      <c r="U15" s="252">
        <v>104.98</v>
      </c>
      <c r="V15" s="252">
        <v>611.04999999999995</v>
      </c>
      <c r="W15" s="253">
        <v>63490.74</v>
      </c>
      <c r="X15" s="252">
        <v>144.22</v>
      </c>
      <c r="Y15" s="252">
        <v>63634.96</v>
      </c>
      <c r="Z15" s="253">
        <v>1361.65</v>
      </c>
      <c r="AA15" s="252">
        <v>534.55999999999995</v>
      </c>
      <c r="AB15" s="252">
        <v>1896.21</v>
      </c>
      <c r="AC15" s="253">
        <v>1422.59</v>
      </c>
      <c r="AD15" s="252">
        <v>137.96</v>
      </c>
      <c r="AE15" s="252">
        <v>1560.55</v>
      </c>
      <c r="AF15" s="253">
        <v>1363.4134759999999</v>
      </c>
      <c r="AG15" s="252">
        <v>267.17196799999999</v>
      </c>
      <c r="AH15" s="254">
        <v>1630.5854439999998</v>
      </c>
      <c r="AI15" s="252"/>
      <c r="AJ15" s="252"/>
      <c r="AK15" s="252"/>
    </row>
    <row r="16" spans="1:37" ht="13.5" customHeight="1">
      <c r="A16" s="255" t="s">
        <v>170</v>
      </c>
      <c r="B16" s="253" t="s">
        <v>171</v>
      </c>
      <c r="C16" s="252" t="s">
        <v>172</v>
      </c>
      <c r="D16" s="252" t="s">
        <v>173</v>
      </c>
      <c r="E16" s="253">
        <v>44345.3</v>
      </c>
      <c r="F16" s="252">
        <v>260420.78</v>
      </c>
      <c r="G16" s="252">
        <v>304766.08000000002</v>
      </c>
      <c r="H16" s="253">
        <v>45605.96</v>
      </c>
      <c r="I16" s="252">
        <v>176166.24</v>
      </c>
      <c r="J16" s="252">
        <v>221772.2</v>
      </c>
      <c r="K16" s="253">
        <v>53172.480000000003</v>
      </c>
      <c r="L16" s="252">
        <v>231741.55</v>
      </c>
      <c r="M16" s="252">
        <v>284914.03000000003</v>
      </c>
      <c r="N16" s="253">
        <v>69233.149999999994</v>
      </c>
      <c r="O16" s="252">
        <v>182062.26</v>
      </c>
      <c r="P16" s="252">
        <v>251295.41</v>
      </c>
      <c r="Q16" s="253">
        <v>61710.43</v>
      </c>
      <c r="R16" s="252">
        <v>184226.82</v>
      </c>
      <c r="S16" s="252">
        <v>245937.25</v>
      </c>
      <c r="T16" s="253">
        <v>152684.37</v>
      </c>
      <c r="U16" s="252">
        <v>162769.60999999999</v>
      </c>
      <c r="V16" s="252">
        <v>315453.98</v>
      </c>
      <c r="W16" s="253">
        <v>68667.83</v>
      </c>
      <c r="X16" s="252">
        <v>122216.5</v>
      </c>
      <c r="Y16" s="252">
        <v>190884.33</v>
      </c>
      <c r="Z16" s="253">
        <v>65374.14</v>
      </c>
      <c r="AA16" s="252">
        <v>122638.19</v>
      </c>
      <c r="AB16" s="252">
        <v>188012.33</v>
      </c>
      <c r="AC16" s="253">
        <v>60439.02</v>
      </c>
      <c r="AD16" s="252">
        <v>107143.02</v>
      </c>
      <c r="AE16" s="252">
        <v>167582.04</v>
      </c>
      <c r="AF16" s="253">
        <v>96380.730077</v>
      </c>
      <c r="AG16" s="252">
        <v>216338.18279300001</v>
      </c>
      <c r="AH16" s="254">
        <v>312718.91287</v>
      </c>
      <c r="AI16" s="252"/>
      <c r="AJ16" s="252"/>
      <c r="AK16" s="252"/>
    </row>
    <row r="17" spans="1:37" ht="13.5" customHeight="1">
      <c r="A17" s="255" t="s">
        <v>174</v>
      </c>
      <c r="B17" s="253" t="s">
        <v>175</v>
      </c>
      <c r="C17" s="252" t="s">
        <v>176</v>
      </c>
      <c r="D17" s="252" t="s">
        <v>177</v>
      </c>
      <c r="E17" s="253">
        <v>4099.25</v>
      </c>
      <c r="F17" s="252">
        <v>25613.25</v>
      </c>
      <c r="G17" s="252">
        <v>29712.5</v>
      </c>
      <c r="H17" s="253">
        <v>3578.9</v>
      </c>
      <c r="I17" s="252">
        <v>11082.13</v>
      </c>
      <c r="J17" s="252">
        <v>14661.03</v>
      </c>
      <c r="K17" s="253">
        <v>6229.87</v>
      </c>
      <c r="L17" s="252">
        <v>21453.439999999999</v>
      </c>
      <c r="M17" s="252">
        <v>27683.31</v>
      </c>
      <c r="N17" s="253">
        <v>6500.87</v>
      </c>
      <c r="O17" s="252">
        <v>15078.67</v>
      </c>
      <c r="P17" s="252">
        <v>21579.54</v>
      </c>
      <c r="Q17" s="253">
        <v>7082.89</v>
      </c>
      <c r="R17" s="252">
        <v>16611.18</v>
      </c>
      <c r="S17" s="252">
        <v>23694.07</v>
      </c>
      <c r="T17" s="253">
        <v>6290.31</v>
      </c>
      <c r="U17" s="252">
        <v>16839.400000000001</v>
      </c>
      <c r="V17" s="252">
        <v>23129.71</v>
      </c>
      <c r="W17" s="253">
        <v>5806.46</v>
      </c>
      <c r="X17" s="252">
        <v>8689.23</v>
      </c>
      <c r="Y17" s="252">
        <v>14495.69</v>
      </c>
      <c r="Z17" s="253">
        <v>6447.4</v>
      </c>
      <c r="AA17" s="252">
        <v>12254.43</v>
      </c>
      <c r="AB17" s="252">
        <v>18701.830000000002</v>
      </c>
      <c r="AC17" s="253">
        <v>6819.49</v>
      </c>
      <c r="AD17" s="252">
        <v>11784.97</v>
      </c>
      <c r="AE17" s="252">
        <v>18604.46</v>
      </c>
      <c r="AF17" s="253">
        <v>9580.7509370000007</v>
      </c>
      <c r="AG17" s="252">
        <v>12991.245919999999</v>
      </c>
      <c r="AH17" s="254">
        <v>22571.996856999998</v>
      </c>
      <c r="AI17" s="252"/>
      <c r="AJ17" s="252"/>
      <c r="AK17" s="252"/>
    </row>
    <row r="18" spans="1:37" ht="13.5" customHeight="1">
      <c r="A18" s="255" t="s">
        <v>178</v>
      </c>
      <c r="B18" s="253" t="s">
        <v>179</v>
      </c>
      <c r="C18" s="252" t="s">
        <v>180</v>
      </c>
      <c r="D18" s="252" t="s">
        <v>181</v>
      </c>
      <c r="E18" s="253">
        <v>1433.17</v>
      </c>
      <c r="F18" s="252">
        <v>3223.14</v>
      </c>
      <c r="G18" s="252">
        <v>4656.32</v>
      </c>
      <c r="H18" s="253">
        <v>2641.9</v>
      </c>
      <c r="I18" s="252">
        <v>598.25</v>
      </c>
      <c r="J18" s="252">
        <v>3240.14</v>
      </c>
      <c r="K18" s="253">
        <v>3794.5</v>
      </c>
      <c r="L18" s="252">
        <v>936.13</v>
      </c>
      <c r="M18" s="252">
        <v>4730.63</v>
      </c>
      <c r="N18" s="253">
        <v>5817.71</v>
      </c>
      <c r="O18" s="252">
        <v>609.08000000000004</v>
      </c>
      <c r="P18" s="252">
        <v>6426.79</v>
      </c>
      <c r="Q18" s="253">
        <v>2539.81</v>
      </c>
      <c r="R18" s="252">
        <v>10087.44</v>
      </c>
      <c r="S18" s="252">
        <v>12627.25</v>
      </c>
      <c r="T18" s="253">
        <v>1326.41</v>
      </c>
      <c r="U18" s="252">
        <v>8955.61</v>
      </c>
      <c r="V18" s="252">
        <v>10282.02</v>
      </c>
      <c r="W18" s="253">
        <v>4261.66</v>
      </c>
      <c r="X18" s="252">
        <v>7510.49</v>
      </c>
      <c r="Y18" s="252">
        <v>11772.15</v>
      </c>
      <c r="Z18" s="253">
        <v>1300.49</v>
      </c>
      <c r="AA18" s="252">
        <v>9058.99</v>
      </c>
      <c r="AB18" s="252">
        <v>10359.49</v>
      </c>
      <c r="AC18" s="253">
        <v>12357.58</v>
      </c>
      <c r="AD18" s="252">
        <v>18665.37</v>
      </c>
      <c r="AE18" s="252">
        <v>31022.95</v>
      </c>
      <c r="AF18" s="253">
        <v>14688.891073999999</v>
      </c>
      <c r="AG18" s="252">
        <v>14704.748335</v>
      </c>
      <c r="AH18" s="254">
        <v>29393.639408999999</v>
      </c>
      <c r="AI18" s="252"/>
      <c r="AJ18" s="252"/>
      <c r="AK18" s="252"/>
    </row>
    <row r="19" spans="1:37" ht="13.5" customHeight="1">
      <c r="A19" s="204" t="s">
        <v>182</v>
      </c>
      <c r="B19" s="253" t="s">
        <v>183</v>
      </c>
      <c r="C19" s="252" t="s">
        <v>184</v>
      </c>
      <c r="D19" s="252" t="s">
        <v>185</v>
      </c>
      <c r="E19" s="253">
        <v>8238.41</v>
      </c>
      <c r="F19" s="252">
        <v>3065.47</v>
      </c>
      <c r="G19" s="252">
        <v>11303.88</v>
      </c>
      <c r="H19" s="253">
        <v>9022.7800000000007</v>
      </c>
      <c r="I19" s="252">
        <v>2309.75</v>
      </c>
      <c r="J19" s="252">
        <v>11332.53</v>
      </c>
      <c r="K19" s="253">
        <v>4947.38</v>
      </c>
      <c r="L19" s="252">
        <v>2389.38</v>
      </c>
      <c r="M19" s="252">
        <v>7336.75</v>
      </c>
      <c r="N19" s="253">
        <v>9787.5</v>
      </c>
      <c r="O19" s="252">
        <v>9867.7000000000007</v>
      </c>
      <c r="P19" s="252">
        <v>19655.2</v>
      </c>
      <c r="Q19" s="253">
        <v>10282.129999999999</v>
      </c>
      <c r="R19" s="252">
        <v>1256.0899999999999</v>
      </c>
      <c r="S19" s="252">
        <v>11538.22</v>
      </c>
      <c r="T19" s="253">
        <v>7603.56</v>
      </c>
      <c r="U19" s="252">
        <v>1535.91</v>
      </c>
      <c r="V19" s="252">
        <v>9139.4699999999993</v>
      </c>
      <c r="W19" s="253">
        <v>6557.86</v>
      </c>
      <c r="X19" s="252">
        <v>638.64</v>
      </c>
      <c r="Y19" s="252">
        <v>7196.5</v>
      </c>
      <c r="Z19" s="253">
        <v>8263.7000000000007</v>
      </c>
      <c r="AA19" s="252">
        <v>2183.0700000000002</v>
      </c>
      <c r="AB19" s="252">
        <v>10446.780000000001</v>
      </c>
      <c r="AC19" s="253">
        <v>5840.26</v>
      </c>
      <c r="AD19" s="252">
        <v>27209.9</v>
      </c>
      <c r="AE19" s="252">
        <v>33050.160000000003</v>
      </c>
      <c r="AF19" s="253">
        <v>10672.837269</v>
      </c>
      <c r="AG19" s="252">
        <v>49047.078671000003</v>
      </c>
      <c r="AH19" s="254">
        <v>59719.915940000006</v>
      </c>
      <c r="AI19" s="252"/>
      <c r="AJ19" s="252"/>
      <c r="AK19" s="252"/>
    </row>
    <row r="20" spans="1:37" ht="13.5" customHeight="1">
      <c r="A20" s="204" t="s">
        <v>186</v>
      </c>
      <c r="B20" s="253" t="s">
        <v>187</v>
      </c>
      <c r="C20" s="252" t="s">
        <v>188</v>
      </c>
      <c r="D20" s="252" t="s">
        <v>189</v>
      </c>
      <c r="E20" s="253">
        <v>7026.65</v>
      </c>
      <c r="F20" s="252">
        <v>55524.63</v>
      </c>
      <c r="G20" s="252">
        <v>62551.28</v>
      </c>
      <c r="H20" s="253">
        <v>9936.9500000000007</v>
      </c>
      <c r="I20" s="252">
        <v>53019.47</v>
      </c>
      <c r="J20" s="252">
        <v>62956.42</v>
      </c>
      <c r="K20" s="253">
        <v>13441.84</v>
      </c>
      <c r="L20" s="252">
        <v>70813.960000000006</v>
      </c>
      <c r="M20" s="252">
        <v>84255.81</v>
      </c>
      <c r="N20" s="253">
        <v>13084.44</v>
      </c>
      <c r="O20" s="252">
        <v>64990.8</v>
      </c>
      <c r="P20" s="252">
        <v>78075.240000000005</v>
      </c>
      <c r="Q20" s="253">
        <v>11708.06</v>
      </c>
      <c r="R20" s="252">
        <v>68190.12</v>
      </c>
      <c r="S20" s="252">
        <v>79898.179999999993</v>
      </c>
      <c r="T20" s="253">
        <v>13742.33</v>
      </c>
      <c r="U20" s="252">
        <v>45017.35</v>
      </c>
      <c r="V20" s="252">
        <v>58759.68</v>
      </c>
      <c r="W20" s="253">
        <v>13426.2</v>
      </c>
      <c r="X20" s="252">
        <v>40554.79</v>
      </c>
      <c r="Y20" s="252">
        <v>53980.99</v>
      </c>
      <c r="Z20" s="253">
        <v>13588.31</v>
      </c>
      <c r="AA20" s="252">
        <v>45144.61</v>
      </c>
      <c r="AB20" s="252">
        <v>58732.92</v>
      </c>
      <c r="AC20" s="253">
        <v>10525.88</v>
      </c>
      <c r="AD20" s="252">
        <v>68298.25</v>
      </c>
      <c r="AE20" s="252">
        <v>78824.13</v>
      </c>
      <c r="AF20" s="253">
        <v>16609.294149000001</v>
      </c>
      <c r="AG20" s="252">
        <v>86025.649463000009</v>
      </c>
      <c r="AH20" s="254">
        <v>102634.943612</v>
      </c>
      <c r="AI20" s="252"/>
      <c r="AJ20" s="252"/>
      <c r="AK20" s="252"/>
    </row>
    <row r="21" spans="1:37" ht="13.5" customHeight="1">
      <c r="A21" s="204" t="s">
        <v>190</v>
      </c>
      <c r="B21" s="253" t="s">
        <v>191</v>
      </c>
      <c r="C21" s="252" t="s">
        <v>192</v>
      </c>
      <c r="D21" s="252" t="s">
        <v>193</v>
      </c>
      <c r="E21" s="253">
        <v>29806.89</v>
      </c>
      <c r="F21" s="252">
        <v>26799.07</v>
      </c>
      <c r="G21" s="252">
        <v>56605.96</v>
      </c>
      <c r="H21" s="253">
        <v>28635.25</v>
      </c>
      <c r="I21" s="252">
        <v>33206.03</v>
      </c>
      <c r="J21" s="252">
        <v>61841.279999999999</v>
      </c>
      <c r="K21" s="253">
        <v>42472.11</v>
      </c>
      <c r="L21" s="252">
        <v>34211.919999999998</v>
      </c>
      <c r="M21" s="252">
        <v>76684.03</v>
      </c>
      <c r="N21" s="253">
        <v>61387.61</v>
      </c>
      <c r="O21" s="252">
        <v>42771.15</v>
      </c>
      <c r="P21" s="252">
        <v>104158.75</v>
      </c>
      <c r="Q21" s="253">
        <v>40823.43</v>
      </c>
      <c r="R21" s="252">
        <v>49976.91</v>
      </c>
      <c r="S21" s="252">
        <v>90800.33</v>
      </c>
      <c r="T21" s="253">
        <v>40150.5</v>
      </c>
      <c r="U21" s="252">
        <v>48038.85</v>
      </c>
      <c r="V21" s="252">
        <v>88189.35</v>
      </c>
      <c r="W21" s="253">
        <v>43035.1</v>
      </c>
      <c r="X21" s="252">
        <v>45096.5</v>
      </c>
      <c r="Y21" s="252">
        <v>88131.6</v>
      </c>
      <c r="Z21" s="253">
        <v>59581.39</v>
      </c>
      <c r="AA21" s="252">
        <v>47934.28</v>
      </c>
      <c r="AB21" s="252">
        <v>107515.67</v>
      </c>
      <c r="AC21" s="253">
        <v>86884.43</v>
      </c>
      <c r="AD21" s="252">
        <v>36039.58</v>
      </c>
      <c r="AE21" s="252">
        <v>122924.01</v>
      </c>
      <c r="AF21" s="253">
        <v>110984.169618</v>
      </c>
      <c r="AG21" s="252">
        <v>39921.682593999998</v>
      </c>
      <c r="AH21" s="254">
        <v>150905.852212</v>
      </c>
      <c r="AI21" s="252"/>
      <c r="AJ21" s="252"/>
      <c r="AK21" s="252"/>
    </row>
    <row r="22" spans="1:37" ht="13.5" customHeight="1">
      <c r="A22" s="255" t="s">
        <v>194</v>
      </c>
      <c r="B22" s="253" t="s">
        <v>195</v>
      </c>
      <c r="C22" s="252" t="s">
        <v>196</v>
      </c>
      <c r="D22" s="252" t="s">
        <v>197</v>
      </c>
      <c r="E22" s="253">
        <v>1308.6600000000001</v>
      </c>
      <c r="F22" s="252">
        <v>10319.44</v>
      </c>
      <c r="G22" s="252">
        <v>11628.1</v>
      </c>
      <c r="H22" s="253">
        <v>804.86</v>
      </c>
      <c r="I22" s="252">
        <v>8368.2000000000007</v>
      </c>
      <c r="J22" s="252">
        <v>9173.06</v>
      </c>
      <c r="K22" s="253">
        <v>2650.04</v>
      </c>
      <c r="L22" s="252">
        <v>9364</v>
      </c>
      <c r="M22" s="252">
        <v>12014.04</v>
      </c>
      <c r="N22" s="253">
        <v>2633.71</v>
      </c>
      <c r="O22" s="252">
        <v>6681.24</v>
      </c>
      <c r="P22" s="252">
        <v>9314.9500000000007</v>
      </c>
      <c r="Q22" s="253">
        <v>234.47</v>
      </c>
      <c r="R22" s="252">
        <v>7189.7</v>
      </c>
      <c r="S22" s="252">
        <v>7424.18</v>
      </c>
      <c r="T22" s="253">
        <v>207.81</v>
      </c>
      <c r="U22" s="252">
        <v>8615.93</v>
      </c>
      <c r="V22" s="252">
        <v>8823.74</v>
      </c>
      <c r="W22" s="253">
        <v>115.31</v>
      </c>
      <c r="X22" s="252">
        <v>10760.76</v>
      </c>
      <c r="Y22" s="252">
        <v>10876.07</v>
      </c>
      <c r="Z22" s="253">
        <v>399.72</v>
      </c>
      <c r="AA22" s="252">
        <v>2969.97</v>
      </c>
      <c r="AB22" s="252">
        <v>3369.69</v>
      </c>
      <c r="AC22" s="253">
        <v>7506.57</v>
      </c>
      <c r="AD22" s="252">
        <v>5569.12</v>
      </c>
      <c r="AE22" s="252">
        <v>13075.69</v>
      </c>
      <c r="AF22" s="253">
        <v>5247.9355869999999</v>
      </c>
      <c r="AG22" s="252">
        <v>4256</v>
      </c>
      <c r="AH22" s="254">
        <v>9503.9355869999999</v>
      </c>
      <c r="AI22" s="252"/>
      <c r="AJ22" s="252"/>
      <c r="AK22" s="252"/>
    </row>
    <row r="23" spans="1:37" ht="13.5" customHeight="1">
      <c r="A23" s="255" t="s">
        <v>198</v>
      </c>
      <c r="B23" s="253" t="s">
        <v>199</v>
      </c>
      <c r="C23" s="252" t="s">
        <v>200</v>
      </c>
      <c r="D23" s="252" t="s">
        <v>201</v>
      </c>
      <c r="E23" s="253">
        <v>13159.55</v>
      </c>
      <c r="F23" s="252">
        <v>5725.14</v>
      </c>
      <c r="G23" s="252">
        <v>18884.689999999999</v>
      </c>
      <c r="H23" s="253">
        <v>13618.56</v>
      </c>
      <c r="I23" s="252">
        <v>503.06</v>
      </c>
      <c r="J23" s="252">
        <v>14121.61</v>
      </c>
      <c r="K23" s="253">
        <v>22952.41</v>
      </c>
      <c r="L23" s="252">
        <v>487.23</v>
      </c>
      <c r="M23" s="252">
        <v>23439.64</v>
      </c>
      <c r="N23" s="253">
        <v>27496.26</v>
      </c>
      <c r="O23" s="252">
        <v>2349.66</v>
      </c>
      <c r="P23" s="252">
        <v>29845.919999999998</v>
      </c>
      <c r="Q23" s="253">
        <v>22267.03</v>
      </c>
      <c r="R23" s="252">
        <v>1728.95</v>
      </c>
      <c r="S23" s="252">
        <v>23995.98</v>
      </c>
      <c r="T23" s="253">
        <v>23204.69</v>
      </c>
      <c r="U23" s="252">
        <v>1963.7</v>
      </c>
      <c r="V23" s="252">
        <v>25168.39</v>
      </c>
      <c r="W23" s="253">
        <v>25043.95</v>
      </c>
      <c r="X23" s="252">
        <v>1863.76</v>
      </c>
      <c r="Y23" s="252">
        <v>26907.71</v>
      </c>
      <c r="Z23" s="253">
        <v>27691.32</v>
      </c>
      <c r="AA23" s="252">
        <v>2902.48</v>
      </c>
      <c r="AB23" s="252">
        <v>30593.8</v>
      </c>
      <c r="AC23" s="253">
        <v>32368.32</v>
      </c>
      <c r="AD23" s="252">
        <v>817</v>
      </c>
      <c r="AE23" s="252">
        <v>33185.32</v>
      </c>
      <c r="AF23" s="253">
        <v>43168.470226999998</v>
      </c>
      <c r="AG23" s="252">
        <v>1893</v>
      </c>
      <c r="AH23" s="254">
        <v>45061.470226999998</v>
      </c>
      <c r="AI23" s="252"/>
      <c r="AJ23" s="252"/>
      <c r="AK23" s="252"/>
    </row>
    <row r="24" spans="1:37" ht="13.5" customHeight="1">
      <c r="A24" s="255" t="s">
        <v>202</v>
      </c>
      <c r="B24" s="253" t="s">
        <v>203</v>
      </c>
      <c r="C24" s="252" t="s">
        <v>204</v>
      </c>
      <c r="D24" s="252" t="s">
        <v>205</v>
      </c>
      <c r="E24" s="253">
        <v>6365.65</v>
      </c>
      <c r="F24" s="252">
        <v>5103.2</v>
      </c>
      <c r="G24" s="252">
        <v>11468.85</v>
      </c>
      <c r="H24" s="253">
        <v>7735.58</v>
      </c>
      <c r="I24" s="252">
        <v>23067.24</v>
      </c>
      <c r="J24" s="252">
        <v>30802.82</v>
      </c>
      <c r="K24" s="253">
        <v>9897.75</v>
      </c>
      <c r="L24" s="252">
        <v>23993.11</v>
      </c>
      <c r="M24" s="252">
        <v>33890.86</v>
      </c>
      <c r="N24" s="253">
        <v>12740.01</v>
      </c>
      <c r="O24" s="252">
        <v>32233.24</v>
      </c>
      <c r="P24" s="252">
        <v>44973.25</v>
      </c>
      <c r="Q24" s="253">
        <v>3987.9</v>
      </c>
      <c r="R24" s="252">
        <v>37259.25</v>
      </c>
      <c r="S24" s="252">
        <v>41247.15</v>
      </c>
      <c r="T24" s="253">
        <v>2114.41</v>
      </c>
      <c r="U24" s="252">
        <v>28649.97</v>
      </c>
      <c r="V24" s="252">
        <v>30764.38</v>
      </c>
      <c r="W24" s="253">
        <v>2683.95</v>
      </c>
      <c r="X24" s="252">
        <v>27231.759999999998</v>
      </c>
      <c r="Y24" s="252">
        <v>29915.71</v>
      </c>
      <c r="Z24" s="253">
        <v>16106.78</v>
      </c>
      <c r="AA24" s="252">
        <v>27573.599999999999</v>
      </c>
      <c r="AB24" s="252">
        <v>43680.37</v>
      </c>
      <c r="AC24" s="253">
        <v>24495.03</v>
      </c>
      <c r="AD24" s="252">
        <v>27604.47</v>
      </c>
      <c r="AE24" s="252">
        <v>52099.5</v>
      </c>
      <c r="AF24" s="253">
        <v>26378.629105</v>
      </c>
      <c r="AG24" s="252">
        <v>33552.682593999998</v>
      </c>
      <c r="AH24" s="254">
        <v>59931.311698999998</v>
      </c>
      <c r="AI24" s="252"/>
      <c r="AJ24" s="252"/>
      <c r="AK24" s="252"/>
    </row>
    <row r="25" spans="1:37" ht="13.5" customHeight="1">
      <c r="A25" s="255" t="s">
        <v>206</v>
      </c>
      <c r="B25" s="253" t="s">
        <v>207</v>
      </c>
      <c r="C25" s="252" t="s">
        <v>208</v>
      </c>
      <c r="D25" s="252" t="s">
        <v>209</v>
      </c>
      <c r="E25" s="253">
        <v>8973.02</v>
      </c>
      <c r="F25" s="252">
        <v>5651.28</v>
      </c>
      <c r="G25" s="252">
        <v>14624.31</v>
      </c>
      <c r="H25" s="253">
        <v>6476.26</v>
      </c>
      <c r="I25" s="252">
        <v>1267.53</v>
      </c>
      <c r="J25" s="252">
        <v>7743.79</v>
      </c>
      <c r="K25" s="253">
        <v>6971.91</v>
      </c>
      <c r="L25" s="252">
        <v>367.58</v>
      </c>
      <c r="M25" s="252">
        <v>7339.49</v>
      </c>
      <c r="N25" s="253">
        <v>18517.62</v>
      </c>
      <c r="O25" s="252">
        <v>1507.01</v>
      </c>
      <c r="P25" s="252">
        <v>20024.63</v>
      </c>
      <c r="Q25" s="253">
        <v>14334.03</v>
      </c>
      <c r="R25" s="252">
        <v>3799</v>
      </c>
      <c r="S25" s="252">
        <v>18133.03</v>
      </c>
      <c r="T25" s="253">
        <v>14623.59</v>
      </c>
      <c r="U25" s="252">
        <v>8809.25</v>
      </c>
      <c r="V25" s="252">
        <v>23432.84</v>
      </c>
      <c r="W25" s="253">
        <v>15191.89</v>
      </c>
      <c r="X25" s="252">
        <v>5240.22</v>
      </c>
      <c r="Y25" s="252">
        <v>20432.11</v>
      </c>
      <c r="Z25" s="253">
        <v>15383.58</v>
      </c>
      <c r="AA25" s="252">
        <v>14488.23</v>
      </c>
      <c r="AB25" s="252">
        <v>29871.81</v>
      </c>
      <c r="AC25" s="253">
        <v>22514.51</v>
      </c>
      <c r="AD25" s="252">
        <v>2048.9899999999998</v>
      </c>
      <c r="AE25" s="252">
        <v>24563.5</v>
      </c>
      <c r="AF25" s="253">
        <v>36189.134699000002</v>
      </c>
      <c r="AG25" s="252">
        <v>220</v>
      </c>
      <c r="AH25" s="254">
        <v>36409.134699000002</v>
      </c>
      <c r="AI25" s="252"/>
      <c r="AJ25" s="252"/>
      <c r="AK25" s="252"/>
    </row>
    <row r="26" spans="1:37" ht="13.5" customHeight="1">
      <c r="A26" s="204" t="s">
        <v>210</v>
      </c>
      <c r="B26" s="253" t="s">
        <v>211</v>
      </c>
      <c r="C26" s="252" t="s">
        <v>212</v>
      </c>
      <c r="D26" s="252" t="s">
        <v>213</v>
      </c>
      <c r="E26" s="253">
        <v>6423</v>
      </c>
      <c r="F26" s="252">
        <v>2503.84</v>
      </c>
      <c r="G26" s="252">
        <v>8926.84</v>
      </c>
      <c r="H26" s="253">
        <v>5572.94</v>
      </c>
      <c r="I26" s="252">
        <v>2827.51</v>
      </c>
      <c r="J26" s="252">
        <v>8400.4500000000007</v>
      </c>
      <c r="K26" s="253">
        <v>6847.85</v>
      </c>
      <c r="L26" s="252">
        <v>1458.13</v>
      </c>
      <c r="M26" s="252">
        <v>8305.98</v>
      </c>
      <c r="N26" s="253">
        <v>4464.24</v>
      </c>
      <c r="O26" s="252">
        <v>10127.99</v>
      </c>
      <c r="P26" s="252">
        <v>14592.23</v>
      </c>
      <c r="Q26" s="253">
        <v>3473.28</v>
      </c>
      <c r="R26" s="252">
        <v>3325.25</v>
      </c>
      <c r="S26" s="252">
        <v>6798.53</v>
      </c>
      <c r="T26" s="253">
        <v>3982.85</v>
      </c>
      <c r="U26" s="252">
        <v>13204.74</v>
      </c>
      <c r="V26" s="252">
        <v>17187.59</v>
      </c>
      <c r="W26" s="253">
        <v>4081.72</v>
      </c>
      <c r="X26" s="252">
        <v>4725.58</v>
      </c>
      <c r="Y26" s="252">
        <v>8807.2999999999993</v>
      </c>
      <c r="Z26" s="253">
        <v>5092.5600000000004</v>
      </c>
      <c r="AA26" s="252">
        <v>14739.67</v>
      </c>
      <c r="AB26" s="252">
        <v>19832.240000000002</v>
      </c>
      <c r="AC26" s="253">
        <v>5277.12</v>
      </c>
      <c r="AD26" s="252">
        <v>15328.84</v>
      </c>
      <c r="AE26" s="252">
        <v>20605.96</v>
      </c>
      <c r="AF26" s="253">
        <v>4275.2002869999997</v>
      </c>
      <c r="AG26" s="252">
        <v>16611</v>
      </c>
      <c r="AH26" s="254">
        <v>20886.200287</v>
      </c>
      <c r="AI26" s="252"/>
      <c r="AJ26" s="252"/>
      <c r="AK26" s="252"/>
    </row>
    <row r="27" spans="1:37" ht="13.5" customHeight="1">
      <c r="A27" s="204" t="s">
        <v>214</v>
      </c>
      <c r="B27" s="253" t="s">
        <v>215</v>
      </c>
      <c r="C27" s="252" t="s">
        <v>216</v>
      </c>
      <c r="D27" s="252" t="s">
        <v>217</v>
      </c>
      <c r="E27" s="253">
        <v>302428.82</v>
      </c>
      <c r="F27" s="252">
        <v>23048.12</v>
      </c>
      <c r="G27" s="252">
        <v>325476.95</v>
      </c>
      <c r="H27" s="253">
        <v>391359.77</v>
      </c>
      <c r="I27" s="252">
        <v>21095.18</v>
      </c>
      <c r="J27" s="252">
        <v>412454.96</v>
      </c>
      <c r="K27" s="253">
        <v>428200.6</v>
      </c>
      <c r="L27" s="252">
        <v>26879.24</v>
      </c>
      <c r="M27" s="252">
        <v>455079.84</v>
      </c>
      <c r="N27" s="253">
        <v>449366.5</v>
      </c>
      <c r="O27" s="252">
        <v>16320.67</v>
      </c>
      <c r="P27" s="252">
        <v>465687.17</v>
      </c>
      <c r="Q27" s="253">
        <v>431274.36</v>
      </c>
      <c r="R27" s="252">
        <v>15324.08</v>
      </c>
      <c r="S27" s="252">
        <v>446598.43</v>
      </c>
      <c r="T27" s="253">
        <v>461142.45</v>
      </c>
      <c r="U27" s="252">
        <v>12911.72</v>
      </c>
      <c r="V27" s="252">
        <v>474054.17</v>
      </c>
      <c r="W27" s="253">
        <v>556410.11</v>
      </c>
      <c r="X27" s="252">
        <v>23647.98</v>
      </c>
      <c r="Y27" s="252">
        <v>580058.09</v>
      </c>
      <c r="Z27" s="253">
        <v>687940.05</v>
      </c>
      <c r="AA27" s="252">
        <v>25594.51</v>
      </c>
      <c r="AB27" s="252">
        <v>713534.56</v>
      </c>
      <c r="AC27" s="253">
        <v>728057.77</v>
      </c>
      <c r="AD27" s="252">
        <v>22484.49</v>
      </c>
      <c r="AE27" s="252">
        <v>750542.26</v>
      </c>
      <c r="AF27" s="253">
        <v>756732.52035100001</v>
      </c>
      <c r="AG27" s="252">
        <v>29779.745358</v>
      </c>
      <c r="AH27" s="254">
        <v>786512.26570900006</v>
      </c>
      <c r="AI27" s="252"/>
      <c r="AJ27" s="252"/>
      <c r="AK27" s="252"/>
    </row>
    <row r="28" spans="1:37" ht="13.5" customHeight="1">
      <c r="A28" s="255" t="s">
        <v>218</v>
      </c>
      <c r="B28" s="253" t="s">
        <v>219</v>
      </c>
      <c r="C28" s="252" t="s">
        <v>220</v>
      </c>
      <c r="D28" s="256" t="s">
        <v>221</v>
      </c>
      <c r="E28" s="253">
        <v>13676.43</v>
      </c>
      <c r="F28" s="252">
        <v>307.69</v>
      </c>
      <c r="G28" s="256">
        <v>13984.12</v>
      </c>
      <c r="H28" s="253">
        <v>17344.400000000001</v>
      </c>
      <c r="I28" s="252">
        <v>1793.46</v>
      </c>
      <c r="J28" s="256">
        <v>19137.86</v>
      </c>
      <c r="K28" s="253">
        <v>2148.7199999999998</v>
      </c>
      <c r="L28" s="252">
        <v>0</v>
      </c>
      <c r="M28" s="256">
        <v>2148.7199999999998</v>
      </c>
      <c r="N28" s="253">
        <v>2667.59</v>
      </c>
      <c r="O28" s="252">
        <v>0</v>
      </c>
      <c r="P28" s="256">
        <v>2667.59</v>
      </c>
      <c r="Q28" s="253">
        <v>3044.5</v>
      </c>
      <c r="R28" s="252">
        <v>0</v>
      </c>
      <c r="S28" s="256">
        <v>3044.5</v>
      </c>
      <c r="T28" s="253">
        <v>6556.16</v>
      </c>
      <c r="U28" s="252">
        <v>0</v>
      </c>
      <c r="V28" s="256">
        <v>6556.16</v>
      </c>
      <c r="W28" s="253">
        <v>4932.38</v>
      </c>
      <c r="X28" s="252">
        <v>0</v>
      </c>
      <c r="Y28" s="256">
        <v>4932.38</v>
      </c>
      <c r="Z28" s="253">
        <v>3553.48</v>
      </c>
      <c r="AA28" s="252">
        <v>0</v>
      </c>
      <c r="AB28" s="256">
        <v>3553.48</v>
      </c>
      <c r="AC28" s="253">
        <v>4761.28</v>
      </c>
      <c r="AD28" s="252">
        <v>0</v>
      </c>
      <c r="AE28" s="256">
        <v>4761.28</v>
      </c>
      <c r="AF28" s="253">
        <v>4335.7632720000001</v>
      </c>
      <c r="AG28" s="252">
        <v>0</v>
      </c>
      <c r="AH28" s="254">
        <v>4335.7632720000001</v>
      </c>
      <c r="AI28" s="252"/>
      <c r="AJ28" s="252"/>
      <c r="AK28" s="252"/>
    </row>
    <row r="29" spans="1:37" ht="13.5" customHeight="1">
      <c r="A29" s="255" t="s">
        <v>222</v>
      </c>
      <c r="B29" s="253" t="s">
        <v>223</v>
      </c>
      <c r="C29" s="252" t="s">
        <v>224</v>
      </c>
      <c r="D29" s="256" t="s">
        <v>225</v>
      </c>
      <c r="E29" s="253">
        <v>134792.9</v>
      </c>
      <c r="F29" s="252">
        <v>2276.91</v>
      </c>
      <c r="G29" s="256">
        <v>137069.81</v>
      </c>
      <c r="H29" s="253">
        <v>168416.45</v>
      </c>
      <c r="I29" s="252">
        <v>4605.32</v>
      </c>
      <c r="J29" s="256">
        <v>173021.77</v>
      </c>
      <c r="K29" s="253">
        <v>165667.43</v>
      </c>
      <c r="L29" s="252">
        <v>3871.03</v>
      </c>
      <c r="M29" s="256">
        <v>169538.47</v>
      </c>
      <c r="N29" s="253">
        <v>179008.07</v>
      </c>
      <c r="O29" s="252">
        <v>1574.52</v>
      </c>
      <c r="P29" s="256">
        <v>180582.59</v>
      </c>
      <c r="Q29" s="253">
        <v>185268.51</v>
      </c>
      <c r="R29" s="252">
        <v>2057.34</v>
      </c>
      <c r="S29" s="256">
        <v>187325.85</v>
      </c>
      <c r="T29" s="253">
        <v>192388.5</v>
      </c>
      <c r="U29" s="252">
        <v>1927.38</v>
      </c>
      <c r="V29" s="256">
        <v>194315.88</v>
      </c>
      <c r="W29" s="253">
        <v>208831.59</v>
      </c>
      <c r="X29" s="252">
        <v>3887.98</v>
      </c>
      <c r="Y29" s="256">
        <v>212719.57</v>
      </c>
      <c r="Z29" s="253">
        <v>288968.09000000003</v>
      </c>
      <c r="AA29" s="252">
        <v>10306.42</v>
      </c>
      <c r="AB29" s="256">
        <v>299274.5</v>
      </c>
      <c r="AC29" s="253">
        <v>292472.96999999997</v>
      </c>
      <c r="AD29" s="252">
        <v>15419.29</v>
      </c>
      <c r="AE29" s="256">
        <v>307892.26</v>
      </c>
      <c r="AF29" s="253">
        <v>311309.69714399998</v>
      </c>
      <c r="AG29" s="252">
        <v>14693.8</v>
      </c>
      <c r="AH29" s="254">
        <v>326003.49714399996</v>
      </c>
      <c r="AI29" s="252"/>
      <c r="AJ29" s="252"/>
      <c r="AK29" s="252"/>
    </row>
    <row r="30" spans="1:37" ht="13.5" customHeight="1">
      <c r="A30" s="255" t="s">
        <v>226</v>
      </c>
      <c r="B30" s="253" t="s">
        <v>227</v>
      </c>
      <c r="C30" s="252" t="s">
        <v>228</v>
      </c>
      <c r="D30" s="256" t="s">
        <v>229</v>
      </c>
      <c r="E30" s="253">
        <v>88032.82</v>
      </c>
      <c r="F30" s="252">
        <v>5031.6400000000003</v>
      </c>
      <c r="G30" s="256">
        <v>93064.46</v>
      </c>
      <c r="H30" s="253">
        <v>103519.09</v>
      </c>
      <c r="I30" s="252">
        <v>2510.09</v>
      </c>
      <c r="J30" s="256">
        <v>106029.18</v>
      </c>
      <c r="K30" s="253">
        <v>135263.34</v>
      </c>
      <c r="L30" s="252">
        <v>2724.53</v>
      </c>
      <c r="M30" s="256">
        <v>137987.88</v>
      </c>
      <c r="N30" s="253">
        <v>138782.81</v>
      </c>
      <c r="O30" s="252">
        <v>2678.87</v>
      </c>
      <c r="P30" s="256">
        <v>141461.68</v>
      </c>
      <c r="Q30" s="253">
        <v>155130.26</v>
      </c>
      <c r="R30" s="252">
        <v>3690.21</v>
      </c>
      <c r="S30" s="256">
        <v>158820.47</v>
      </c>
      <c r="T30" s="253">
        <v>165394.99</v>
      </c>
      <c r="U30" s="252">
        <v>4206.5600000000004</v>
      </c>
      <c r="V30" s="256">
        <v>169601.55</v>
      </c>
      <c r="W30" s="253">
        <v>252973.19</v>
      </c>
      <c r="X30" s="252">
        <v>13665.38</v>
      </c>
      <c r="Y30" s="256">
        <v>266638.57</v>
      </c>
      <c r="Z30" s="253">
        <v>260141.33</v>
      </c>
      <c r="AA30" s="252">
        <v>5684.6</v>
      </c>
      <c r="AB30" s="256">
        <v>265825.93</v>
      </c>
      <c r="AC30" s="253">
        <v>273909.33</v>
      </c>
      <c r="AD30" s="252">
        <v>3429.38</v>
      </c>
      <c r="AE30" s="256">
        <v>277338.71999999997</v>
      </c>
      <c r="AF30" s="253">
        <v>278948.33378400002</v>
      </c>
      <c r="AG30" s="252">
        <v>4300.6478790000001</v>
      </c>
      <c r="AH30" s="254">
        <v>283248.98166300001</v>
      </c>
      <c r="AI30" s="252"/>
      <c r="AJ30" s="252"/>
      <c r="AK30" s="252"/>
    </row>
    <row r="31" spans="1:37" ht="13.5" customHeight="1">
      <c r="A31" s="255" t="s">
        <v>230</v>
      </c>
      <c r="B31" s="253" t="s">
        <v>231</v>
      </c>
      <c r="C31" s="252" t="s">
        <v>232</v>
      </c>
      <c r="D31" s="256" t="s">
        <v>233</v>
      </c>
      <c r="E31" s="253">
        <v>65042.47</v>
      </c>
      <c r="F31" s="252">
        <v>15403.77</v>
      </c>
      <c r="G31" s="256">
        <v>80446.240000000005</v>
      </c>
      <c r="H31" s="253">
        <v>99959.37</v>
      </c>
      <c r="I31" s="252">
        <v>12143.26</v>
      </c>
      <c r="J31" s="256">
        <v>112102.62</v>
      </c>
      <c r="K31" s="253">
        <v>108271.52</v>
      </c>
      <c r="L31" s="252">
        <v>19938.54</v>
      </c>
      <c r="M31" s="256">
        <v>128210.06</v>
      </c>
      <c r="N31" s="253">
        <v>113113.5</v>
      </c>
      <c r="O31" s="252">
        <v>11885.84</v>
      </c>
      <c r="P31" s="256">
        <v>124999.34</v>
      </c>
      <c r="Q31" s="253">
        <v>73737.87</v>
      </c>
      <c r="R31" s="252">
        <v>9416.27</v>
      </c>
      <c r="S31" s="256">
        <v>83154.14</v>
      </c>
      <c r="T31" s="253">
        <v>82204.27</v>
      </c>
      <c r="U31" s="252">
        <v>6074.85</v>
      </c>
      <c r="V31" s="256">
        <v>88279.12</v>
      </c>
      <c r="W31" s="253">
        <v>75204.5</v>
      </c>
      <c r="X31" s="252">
        <v>5796.5</v>
      </c>
      <c r="Y31" s="256">
        <v>81001</v>
      </c>
      <c r="Z31" s="253">
        <v>119365.04</v>
      </c>
      <c r="AA31" s="252">
        <v>9424.73</v>
      </c>
      <c r="AB31" s="256">
        <v>128789.77</v>
      </c>
      <c r="AC31" s="253">
        <v>132362.31</v>
      </c>
      <c r="AD31" s="252">
        <v>3599.43</v>
      </c>
      <c r="AE31" s="256">
        <v>135961.74</v>
      </c>
      <c r="AF31" s="253">
        <v>136894.276698</v>
      </c>
      <c r="AG31" s="252">
        <v>10718.297479000001</v>
      </c>
      <c r="AH31" s="254">
        <v>147612.574177</v>
      </c>
      <c r="AI31" s="252"/>
      <c r="AJ31" s="252"/>
      <c r="AK31" s="252"/>
    </row>
    <row r="32" spans="1:37" ht="13.5" customHeight="1">
      <c r="A32" s="255" t="s">
        <v>234</v>
      </c>
      <c r="B32" s="253" t="s">
        <v>235</v>
      </c>
      <c r="C32" s="252" t="s">
        <v>236</v>
      </c>
      <c r="D32" s="256" t="s">
        <v>237</v>
      </c>
      <c r="E32" s="253">
        <v>884.2</v>
      </c>
      <c r="F32" s="252">
        <v>28.11</v>
      </c>
      <c r="G32" s="256">
        <v>912.31</v>
      </c>
      <c r="H32" s="253">
        <v>2120.4699999999998</v>
      </c>
      <c r="I32" s="252">
        <v>43.05</v>
      </c>
      <c r="J32" s="256">
        <v>2163.52</v>
      </c>
      <c r="K32" s="253">
        <v>16849.59</v>
      </c>
      <c r="L32" s="252">
        <v>345.13</v>
      </c>
      <c r="M32" s="256">
        <v>17194.71</v>
      </c>
      <c r="N32" s="253">
        <v>15794.52</v>
      </c>
      <c r="O32" s="252">
        <v>181.44</v>
      </c>
      <c r="P32" s="256">
        <v>15975.97</v>
      </c>
      <c r="Q32" s="253">
        <v>14093.21</v>
      </c>
      <c r="R32" s="252">
        <v>160.26</v>
      </c>
      <c r="S32" s="256">
        <v>14253.47</v>
      </c>
      <c r="T32" s="253">
        <v>14598.53</v>
      </c>
      <c r="U32" s="252">
        <v>702.93</v>
      </c>
      <c r="V32" s="256">
        <v>15301.46</v>
      </c>
      <c r="W32" s="253">
        <v>14468.45</v>
      </c>
      <c r="X32" s="252">
        <v>298.12</v>
      </c>
      <c r="Y32" s="256">
        <v>14766.57</v>
      </c>
      <c r="Z32" s="253">
        <v>15912.11</v>
      </c>
      <c r="AA32" s="252">
        <v>178.77</v>
      </c>
      <c r="AB32" s="256">
        <v>16090.88</v>
      </c>
      <c r="AC32" s="253">
        <v>24551.87</v>
      </c>
      <c r="AD32" s="252">
        <v>36.39</v>
      </c>
      <c r="AE32" s="256">
        <v>24588.26</v>
      </c>
      <c r="AF32" s="253">
        <v>25244.449452999997</v>
      </c>
      <c r="AG32" s="252">
        <v>67</v>
      </c>
      <c r="AH32" s="254">
        <v>25311.449453000001</v>
      </c>
      <c r="AI32" s="252"/>
      <c r="AJ32" s="252"/>
      <c r="AK32" s="252"/>
    </row>
    <row r="33" spans="1:37" ht="13.5" customHeight="1">
      <c r="A33" s="204" t="s">
        <v>238</v>
      </c>
      <c r="B33" s="253" t="s">
        <v>239</v>
      </c>
      <c r="C33" s="252" t="s">
        <v>240</v>
      </c>
      <c r="D33" s="256" t="s">
        <v>241</v>
      </c>
      <c r="E33" s="253">
        <v>70190.3</v>
      </c>
      <c r="F33" s="252">
        <v>13653.85</v>
      </c>
      <c r="G33" s="256">
        <v>83844.149999999994</v>
      </c>
      <c r="H33" s="253">
        <v>85877.49</v>
      </c>
      <c r="I33" s="252">
        <v>13269.47</v>
      </c>
      <c r="J33" s="256">
        <v>99146.96</v>
      </c>
      <c r="K33" s="253">
        <v>101879.19</v>
      </c>
      <c r="L33" s="252">
        <v>17925.900000000001</v>
      </c>
      <c r="M33" s="256">
        <v>119805.09</v>
      </c>
      <c r="N33" s="253">
        <v>129256.44</v>
      </c>
      <c r="O33" s="252">
        <v>17156.27</v>
      </c>
      <c r="P33" s="256">
        <v>146412.71</v>
      </c>
      <c r="Q33" s="253">
        <v>150987.81</v>
      </c>
      <c r="R33" s="252">
        <v>8184.56</v>
      </c>
      <c r="S33" s="256">
        <v>159172.37</v>
      </c>
      <c r="T33" s="253">
        <v>161854.39999999999</v>
      </c>
      <c r="U33" s="252">
        <v>10983.65</v>
      </c>
      <c r="V33" s="256">
        <v>172838.05</v>
      </c>
      <c r="W33" s="253">
        <v>163873.04999999999</v>
      </c>
      <c r="X33" s="252">
        <v>8933.14</v>
      </c>
      <c r="Y33" s="256">
        <v>172806.19</v>
      </c>
      <c r="Z33" s="253">
        <v>189194.99</v>
      </c>
      <c r="AA33" s="252">
        <v>3568.35</v>
      </c>
      <c r="AB33" s="256">
        <v>192763.34</v>
      </c>
      <c r="AC33" s="253">
        <v>228316.41</v>
      </c>
      <c r="AD33" s="252">
        <v>5448.25</v>
      </c>
      <c r="AE33" s="256">
        <v>233764.66</v>
      </c>
      <c r="AF33" s="253">
        <v>55489.366541999996</v>
      </c>
      <c r="AG33" s="252">
        <v>6981.4322560000001</v>
      </c>
      <c r="AH33" s="254">
        <v>263016.98879799998</v>
      </c>
      <c r="AI33" s="252"/>
      <c r="AJ33" s="252"/>
      <c r="AK33" s="252"/>
    </row>
    <row r="34" spans="1:37" ht="13.5" customHeight="1">
      <c r="A34" s="257" t="s">
        <v>480</v>
      </c>
      <c r="B34" s="258">
        <v>1564285.53</v>
      </c>
      <c r="C34" s="259">
        <v>483066.22</v>
      </c>
      <c r="D34" s="260">
        <v>2047351.75</v>
      </c>
      <c r="E34" s="258">
        <v>1657215.49</v>
      </c>
      <c r="F34" s="259">
        <v>625780.13</v>
      </c>
      <c r="G34" s="260">
        <v>2282995.62</v>
      </c>
      <c r="H34" s="258">
        <v>2083677.89</v>
      </c>
      <c r="I34" s="259">
        <v>492387.11</v>
      </c>
      <c r="J34" s="260">
        <v>2576065</v>
      </c>
      <c r="K34" s="258">
        <v>2375052.84</v>
      </c>
      <c r="L34" s="259">
        <v>569745.18999999994</v>
      </c>
      <c r="M34" s="260">
        <v>2944798.04</v>
      </c>
      <c r="N34" s="258">
        <v>1987486.27</v>
      </c>
      <c r="O34" s="259">
        <v>608269.54</v>
      </c>
      <c r="P34" s="260">
        <v>2595755.7999999998</v>
      </c>
      <c r="Q34" s="258">
        <v>2155176.91</v>
      </c>
      <c r="R34" s="259">
        <v>576486.84</v>
      </c>
      <c r="S34" s="260">
        <v>2731663.75</v>
      </c>
      <c r="T34" s="258">
        <v>2542766.21</v>
      </c>
      <c r="U34" s="259">
        <v>484751.78</v>
      </c>
      <c r="V34" s="260">
        <v>3027517.99</v>
      </c>
      <c r="W34" s="258">
        <v>2786192.64</v>
      </c>
      <c r="X34" s="259">
        <v>431994.3</v>
      </c>
      <c r="Y34" s="260">
        <v>3218186.94</v>
      </c>
      <c r="Z34" s="258">
        <v>3104513.83</v>
      </c>
      <c r="AA34" s="259">
        <v>500695.26</v>
      </c>
      <c r="AB34" s="260">
        <v>3605209.09</v>
      </c>
      <c r="AC34" s="258">
        <v>3507014.4</v>
      </c>
      <c r="AD34" s="259">
        <v>570978.03</v>
      </c>
      <c r="AE34" s="260">
        <v>4077992.43</v>
      </c>
      <c r="AF34" s="258">
        <v>3240213.0665600002</v>
      </c>
      <c r="AG34" s="259">
        <v>828820.49784700002</v>
      </c>
      <c r="AH34" s="261">
        <v>4269579.7544069998</v>
      </c>
      <c r="AI34" s="219"/>
      <c r="AJ34" s="219"/>
      <c r="AK34" s="219"/>
    </row>
    <row r="35" spans="1:37" s="389" customFormat="1" ht="13.5" customHeight="1">
      <c r="A35" s="427" t="s">
        <v>92</v>
      </c>
      <c r="E35" s="428"/>
      <c r="F35" s="428"/>
      <c r="G35" s="428"/>
      <c r="H35" s="428"/>
      <c r="I35" s="428"/>
      <c r="J35" s="428"/>
      <c r="K35" s="429"/>
      <c r="L35" s="429"/>
      <c r="M35" s="415"/>
      <c r="N35" s="415"/>
      <c r="O35" s="415"/>
      <c r="P35" s="415"/>
      <c r="Q35" s="415"/>
      <c r="R35" s="415"/>
      <c r="S35" s="395"/>
      <c r="T35" s="394"/>
      <c r="U35" s="415"/>
      <c r="V35" s="415"/>
    </row>
    <row r="36" spans="1:37" s="390" customFormat="1" ht="13.5" customHeight="1">
      <c r="A36" s="424" t="s">
        <v>29</v>
      </c>
      <c r="E36" s="425"/>
      <c r="F36" s="425"/>
      <c r="G36" s="425"/>
      <c r="H36" s="425"/>
      <c r="I36" s="425"/>
      <c r="J36" s="425"/>
      <c r="K36" s="426"/>
      <c r="L36" s="426"/>
      <c r="M36" s="378"/>
      <c r="N36" s="378"/>
      <c r="O36" s="378"/>
      <c r="P36" s="378"/>
      <c r="Q36" s="378"/>
      <c r="R36" s="378"/>
      <c r="S36" s="387"/>
      <c r="T36" s="387"/>
      <c r="U36" s="387"/>
      <c r="V36" s="387"/>
    </row>
    <row r="37" spans="1:37" s="390" customFormat="1" ht="13.5" customHeight="1">
      <c r="A37" s="424" t="s">
        <v>242</v>
      </c>
      <c r="E37" s="425"/>
      <c r="F37" s="387"/>
      <c r="G37" s="387"/>
      <c r="H37" s="387"/>
      <c r="I37" s="387"/>
      <c r="J37" s="387"/>
      <c r="K37" s="378"/>
      <c r="L37" s="378"/>
      <c r="M37" s="378"/>
      <c r="N37" s="378"/>
      <c r="O37" s="378"/>
      <c r="P37" s="378"/>
      <c r="Q37" s="378"/>
      <c r="R37" s="378"/>
      <c r="S37" s="387"/>
      <c r="T37" s="387"/>
      <c r="U37" s="387"/>
      <c r="V37" s="387"/>
    </row>
    <row r="38" spans="1:37" ht="13.5" customHeight="1">
      <c r="K38" s="68"/>
      <c r="L38" s="67"/>
      <c r="M38" s="68"/>
      <c r="N38" s="220"/>
    </row>
    <row r="39" spans="1:37" ht="13.5" customHeight="1">
      <c r="K39" s="68"/>
      <c r="L39" s="68"/>
      <c r="M39" s="68"/>
      <c r="N39" s="220"/>
    </row>
    <row r="40" spans="1:37" ht="13.5" customHeight="1">
      <c r="K40" s="68"/>
      <c r="L40" s="68"/>
      <c r="M40" s="68"/>
      <c r="N40" s="220"/>
    </row>
    <row r="41" spans="1:37" ht="13.5" customHeight="1">
      <c r="K41" s="68"/>
      <c r="L41" s="68"/>
      <c r="M41" s="68"/>
      <c r="N41" s="220"/>
    </row>
    <row r="42" spans="1:37" ht="13.5" customHeight="1">
      <c r="K42" s="68"/>
      <c r="L42" s="68"/>
      <c r="M42" s="68"/>
      <c r="N42" s="220"/>
    </row>
    <row r="43" spans="1:37" ht="13.5" customHeight="1">
      <c r="K43" s="68"/>
      <c r="L43" s="68"/>
      <c r="M43" s="68"/>
      <c r="N43" s="220"/>
    </row>
    <row r="44" spans="1:37" ht="13.5" customHeight="1">
      <c r="K44" s="68"/>
      <c r="L44" s="67"/>
      <c r="M44" s="68"/>
      <c r="N44" s="220"/>
    </row>
    <row r="45" spans="1:37" ht="13.5" customHeight="1">
      <c r="K45" s="68"/>
      <c r="L45" s="68"/>
      <c r="M45" s="68"/>
      <c r="N45" s="220"/>
    </row>
    <row r="46" spans="1:37" ht="13.5" customHeight="1">
      <c r="K46" s="68"/>
      <c r="L46" s="68"/>
      <c r="M46" s="68"/>
      <c r="N46" s="220"/>
    </row>
    <row r="47" spans="1:37" ht="13.5" customHeight="1">
      <c r="K47" s="68"/>
      <c r="L47" s="67"/>
      <c r="M47" s="68"/>
      <c r="N47" s="220"/>
    </row>
    <row r="48" spans="1:37" ht="13.5" customHeight="1">
      <c r="K48" s="68"/>
      <c r="L48" s="68"/>
      <c r="M48" s="68"/>
      <c r="N48" s="220"/>
    </row>
    <row r="49" spans="11:14" ht="13.5" customHeight="1">
      <c r="K49" s="68"/>
      <c r="L49" s="68"/>
      <c r="M49" s="68"/>
      <c r="N49" s="220"/>
    </row>
    <row r="50" spans="11:14" ht="13.5" customHeight="1">
      <c r="K50" s="68"/>
      <c r="L50" s="68"/>
      <c r="M50" s="68"/>
      <c r="N50" s="220"/>
    </row>
    <row r="51" spans="11:14" ht="13.5" customHeight="1">
      <c r="K51" s="68"/>
      <c r="L51" s="68"/>
      <c r="M51" s="68"/>
      <c r="N51" s="220"/>
    </row>
    <row r="52" spans="11:14" ht="13.5" customHeight="1">
      <c r="K52" s="68"/>
      <c r="L52" s="67"/>
      <c r="M52" s="68"/>
      <c r="N52" s="220"/>
    </row>
    <row r="53" spans="11:14" ht="13.5" customHeight="1">
      <c r="K53" s="68"/>
      <c r="L53" s="68"/>
      <c r="M53" s="68"/>
      <c r="N53" s="220"/>
    </row>
    <row r="54" spans="11:14" ht="13.5" customHeight="1">
      <c r="K54" s="68"/>
      <c r="L54" s="67"/>
      <c r="M54" s="68"/>
      <c r="N54" s="220"/>
    </row>
    <row r="55" spans="11:14" ht="13.5" customHeight="1">
      <c r="K55" s="68"/>
      <c r="L55" s="68"/>
      <c r="M55" s="68"/>
      <c r="N55" s="220"/>
    </row>
    <row r="56" spans="11:14" ht="13.5" customHeight="1">
      <c r="K56" s="68"/>
      <c r="L56" s="68"/>
      <c r="M56" s="68"/>
      <c r="N56" s="220"/>
    </row>
    <row r="57" spans="11:14" ht="13.5" customHeight="1">
      <c r="K57" s="68"/>
      <c r="L57" s="67"/>
      <c r="M57" s="68"/>
      <c r="N57" s="220"/>
    </row>
    <row r="58" spans="11:14" ht="13.5" customHeight="1">
      <c r="K58" s="68"/>
      <c r="L58" s="68"/>
      <c r="M58" s="68"/>
      <c r="N58" s="220"/>
    </row>
    <row r="59" spans="11:14" ht="13.5" customHeight="1">
      <c r="K59" s="68"/>
      <c r="L59" s="68"/>
      <c r="M59" s="68"/>
      <c r="N59" s="220"/>
    </row>
    <row r="60" spans="11:14" ht="13.5" customHeight="1">
      <c r="K60" s="68"/>
      <c r="L60" s="68"/>
      <c r="M60" s="68"/>
      <c r="N60" s="220"/>
    </row>
    <row r="61" spans="11:14" ht="13.5" customHeight="1">
      <c r="K61" s="68"/>
      <c r="L61" s="67"/>
      <c r="M61" s="68"/>
      <c r="N61" s="220"/>
    </row>
    <row r="62" spans="11:14" ht="13.5" customHeight="1">
      <c r="K62" s="68"/>
      <c r="L62" s="68"/>
      <c r="M62" s="68"/>
      <c r="N62" s="220"/>
    </row>
    <row r="63" spans="11:14" ht="13.5" customHeight="1">
      <c r="K63" s="68"/>
      <c r="L63" s="68"/>
      <c r="M63" s="68"/>
      <c r="N63" s="220"/>
    </row>
    <row r="64" spans="11:14" ht="13.5" customHeight="1"/>
    <row r="65" s="7" customFormat="1" ht="13.5" customHeight="1"/>
    <row r="66" s="7" customFormat="1" ht="13.5" customHeight="1"/>
    <row r="67" s="7" customFormat="1" ht="13.5" customHeight="1"/>
    <row r="68" s="7" customFormat="1" ht="13.5" customHeight="1"/>
    <row r="69" s="7" customFormat="1" ht="13.5" customHeight="1"/>
    <row r="70" s="7" customFormat="1" ht="13.5" customHeight="1"/>
    <row r="71" s="7" customFormat="1" ht="13.5" customHeight="1"/>
    <row r="72" s="7" customFormat="1" ht="13.5" customHeight="1"/>
    <row r="73" s="7" customFormat="1" ht="13.5" customHeight="1"/>
    <row r="74" s="7" customFormat="1" ht="13.5" customHeight="1"/>
    <row r="75" s="7" customFormat="1" ht="13.5" customHeight="1"/>
    <row r="76" s="7" customFormat="1" ht="13.5" customHeight="1"/>
    <row r="77" s="7" customFormat="1" ht="13.5" customHeight="1"/>
    <row r="78" s="7" customFormat="1" ht="13.5" customHeight="1"/>
    <row r="79" s="7" customFormat="1" ht="13.5" customHeight="1"/>
    <row r="80" s="7" customFormat="1" ht="13.5" customHeight="1"/>
    <row r="81" s="7" customFormat="1" ht="13.5" customHeight="1"/>
    <row r="82" s="7" customFormat="1" ht="13.5" customHeight="1"/>
    <row r="83" s="7" customFormat="1" ht="13.5" customHeight="1"/>
    <row r="84" s="7" customFormat="1" ht="13.5" customHeight="1"/>
    <row r="85" s="7" customFormat="1" ht="13.5" customHeight="1"/>
    <row r="86" s="7" customFormat="1" ht="13.5" customHeight="1"/>
    <row r="87" s="7" customFormat="1" ht="13.5" customHeight="1"/>
    <row r="88" s="7" customFormat="1" ht="13.5" customHeight="1"/>
    <row r="89" s="7" customFormat="1" ht="13.5" customHeight="1"/>
    <row r="90" s="7" customFormat="1" ht="13.5" customHeight="1"/>
    <row r="91" s="7" customFormat="1" ht="13.5" customHeight="1"/>
    <row r="92" s="7" customFormat="1" ht="13.5" customHeight="1"/>
    <row r="93" s="7" customFormat="1" ht="13.5" customHeight="1"/>
    <row r="94" s="7" customFormat="1" ht="13.5" customHeight="1"/>
    <row r="95" s="7" customFormat="1" ht="13.5" customHeight="1"/>
    <row r="96" s="7" customFormat="1" ht="13.5" customHeight="1"/>
    <row r="97" s="7" customFormat="1" ht="13.5" customHeight="1"/>
    <row r="98" s="7" customFormat="1" ht="13.5" customHeight="1"/>
    <row r="99" s="7" customFormat="1" ht="13.5" customHeight="1"/>
    <row r="100" s="7" customFormat="1" ht="13.5" customHeight="1"/>
    <row r="101" s="7" customFormat="1" ht="13.5" customHeight="1"/>
    <row r="102" s="7" customFormat="1" ht="13.5" customHeight="1"/>
    <row r="103" s="7" customFormat="1" ht="13.5" customHeight="1"/>
    <row r="104" s="7" customFormat="1" ht="13.5" customHeight="1"/>
    <row r="105" s="7" customFormat="1" ht="13.5" customHeight="1"/>
    <row r="106" s="7" customFormat="1" ht="13.5" customHeight="1"/>
    <row r="107" s="7" customFormat="1" ht="13.5" customHeight="1"/>
    <row r="108" s="7" customFormat="1" ht="13.5" customHeight="1"/>
    <row r="109" s="7" customFormat="1" ht="13.5" customHeight="1"/>
    <row r="110" s="7" customFormat="1" ht="13.5" customHeight="1"/>
    <row r="111" s="7" customFormat="1" ht="13.5" customHeight="1"/>
    <row r="112" s="7" customFormat="1" ht="13.5" customHeight="1"/>
    <row r="113" s="7" customFormat="1" ht="13.5" customHeight="1"/>
    <row r="114" s="7" customFormat="1" ht="13.5" customHeight="1"/>
    <row r="115" s="7" customFormat="1" ht="13.5" customHeight="1"/>
    <row r="116" s="7" customFormat="1" ht="13.5" customHeight="1"/>
    <row r="117" s="7" customFormat="1" ht="13.5" customHeight="1"/>
    <row r="118" s="7" customFormat="1" ht="13.5" customHeight="1"/>
    <row r="119" s="7" customFormat="1" ht="13.5" customHeight="1"/>
    <row r="120" s="7" customFormat="1" ht="13.5" customHeight="1"/>
    <row r="121" s="7" customFormat="1" ht="13.5" customHeight="1"/>
    <row r="122" s="7" customFormat="1" ht="13.5" customHeight="1"/>
    <row r="123" s="7" customFormat="1" ht="13.5" customHeight="1"/>
    <row r="124" s="7" customFormat="1" ht="13.5" customHeight="1"/>
    <row r="125" s="7" customFormat="1" ht="13.5" customHeight="1"/>
    <row r="126" s="7" customFormat="1" ht="13.5" customHeight="1"/>
    <row r="127" s="7" customFormat="1" ht="13.5" customHeight="1"/>
    <row r="128" s="7" customFormat="1" ht="13.5" customHeight="1"/>
    <row r="129" s="7" customFormat="1" ht="13.5" customHeight="1"/>
    <row r="130" s="7" customFormat="1" ht="13.5" customHeight="1"/>
    <row r="131" s="7" customFormat="1" ht="13.5" customHeight="1"/>
    <row r="132" s="7" customFormat="1" ht="13.5" customHeight="1"/>
    <row r="133" s="7" customFormat="1" ht="13.5" customHeight="1"/>
    <row r="134" s="7" customFormat="1" ht="13.5" customHeight="1"/>
    <row r="135" s="7" customFormat="1" ht="13.5" customHeight="1"/>
    <row r="136" s="7" customFormat="1" ht="13.5" customHeight="1"/>
    <row r="137" s="7" customFormat="1" ht="13.5" customHeight="1"/>
    <row r="138" s="7" customFormat="1" ht="13.5" customHeight="1"/>
    <row r="139" s="7" customFormat="1" ht="13.5" customHeight="1"/>
    <row r="140" s="7" customFormat="1" ht="13.5" customHeight="1"/>
    <row r="141" s="7" customFormat="1" ht="13.5" customHeight="1"/>
    <row r="142" s="7" customFormat="1" ht="13.5" customHeight="1"/>
    <row r="143" s="7" customFormat="1" ht="13.5" customHeight="1"/>
    <row r="144" s="7" customFormat="1" ht="13.5" customHeight="1"/>
    <row r="145" s="7" customFormat="1" ht="13.5" customHeight="1"/>
    <row r="146" s="7" customFormat="1" ht="13.5" customHeight="1"/>
    <row r="147" s="7" customFormat="1" ht="13.5" customHeight="1"/>
    <row r="148" s="7" customFormat="1" ht="13.5" customHeight="1"/>
    <row r="149" s="7" customFormat="1" ht="13.5" customHeight="1"/>
    <row r="150" s="7" customFormat="1" ht="13.5" customHeight="1"/>
    <row r="151" s="7" customFormat="1" ht="13.5" customHeight="1"/>
    <row r="152" s="7" customFormat="1" ht="13.5" customHeight="1"/>
    <row r="153" s="7" customFormat="1" ht="13.5" customHeight="1"/>
    <row r="154" s="7" customFormat="1" ht="13.5" customHeight="1"/>
    <row r="155" s="7" customFormat="1" ht="13.5" customHeight="1"/>
    <row r="156" s="7" customFormat="1" ht="13.5" customHeight="1"/>
    <row r="157" s="7" customFormat="1" ht="13.5" customHeight="1"/>
    <row r="158" s="7" customFormat="1" ht="13.5" customHeight="1"/>
    <row r="159" s="7" customFormat="1" ht="13.5" customHeight="1"/>
    <row r="160" s="7" customFormat="1" ht="13.5" customHeight="1"/>
    <row r="161" s="7" customFormat="1" ht="13.5" customHeight="1"/>
    <row r="162" s="7" customFormat="1" ht="13.5" customHeight="1"/>
    <row r="163" s="7" customFormat="1" ht="13.5" customHeight="1"/>
    <row r="164" s="7" customFormat="1" ht="13.5" customHeight="1"/>
    <row r="165" s="7" customFormat="1" ht="13.5" customHeight="1"/>
    <row r="166" s="7" customFormat="1" ht="13.5" customHeight="1"/>
    <row r="167" s="7" customFormat="1" ht="13.5" customHeight="1"/>
    <row r="168" s="7" customFormat="1" ht="13.5" customHeight="1"/>
    <row r="169" s="7" customFormat="1" ht="13.5" customHeight="1"/>
    <row r="170" s="7" customFormat="1" ht="13.5" customHeight="1"/>
    <row r="171" s="7" customFormat="1" ht="13.5" customHeight="1"/>
    <row r="172" s="7" customFormat="1" ht="13.5" customHeight="1"/>
    <row r="173" s="7" customFormat="1" ht="13.5" customHeight="1"/>
    <row r="174" s="7" customFormat="1" ht="13.5" customHeight="1"/>
    <row r="175" s="7" customFormat="1" ht="13.5" customHeight="1"/>
    <row r="176" s="7" customFormat="1" ht="13.5" customHeight="1"/>
    <row r="177" s="7" customFormat="1" ht="13.5" customHeight="1"/>
    <row r="178" s="7" customFormat="1" ht="13.5" customHeight="1"/>
    <row r="179" s="7" customFormat="1" ht="13.5" customHeight="1"/>
    <row r="180" s="7" customFormat="1" ht="13.5" customHeight="1"/>
    <row r="181" s="7" customFormat="1" ht="13.5" customHeight="1"/>
    <row r="182" s="7" customFormat="1" ht="13.5" customHeight="1"/>
    <row r="183" s="7" customFormat="1" ht="13.5" customHeight="1"/>
    <row r="184" s="7" customFormat="1" ht="13.5" customHeight="1"/>
    <row r="185" s="7" customFormat="1" ht="13.5" customHeight="1"/>
    <row r="186" s="7" customFormat="1" ht="13.5" customHeight="1"/>
    <row r="187" s="7" customFormat="1" ht="13.5" customHeight="1"/>
    <row r="188" s="7" customFormat="1" ht="13.5" customHeight="1"/>
    <row r="189" s="7" customFormat="1" ht="13.5" customHeight="1"/>
    <row r="190" s="7" customFormat="1" ht="13.5" customHeight="1"/>
    <row r="191" s="7" customFormat="1" ht="13.5" customHeight="1"/>
    <row r="192" s="7" customFormat="1" ht="13.5" customHeight="1"/>
    <row r="193" s="7" customFormat="1" ht="13.5" customHeight="1"/>
    <row r="194" s="7" customFormat="1" ht="13.5" customHeight="1"/>
    <row r="195" s="7" customFormat="1" ht="13.5" customHeight="1"/>
    <row r="196" s="7" customFormat="1" ht="13.5" customHeight="1"/>
    <row r="197" s="7" customFormat="1" ht="13.5" customHeight="1"/>
    <row r="198" s="7" customFormat="1" ht="13.5" customHeight="1"/>
    <row r="199" s="7" customFormat="1" ht="13.5" customHeight="1"/>
    <row r="200" s="7" customFormat="1" ht="13.5" customHeight="1"/>
    <row r="201" s="7" customFormat="1" ht="13.5" customHeight="1"/>
    <row r="202" s="7" customFormat="1" ht="13.5" customHeight="1"/>
    <row r="203" s="7" customFormat="1" ht="13.5" customHeight="1"/>
    <row r="204" s="7" customFormat="1" ht="13.5" customHeight="1"/>
    <row r="205" s="7" customFormat="1" ht="13.5" customHeight="1"/>
    <row r="206" s="7" customFormat="1" ht="13.5" customHeight="1"/>
    <row r="207" s="7" customFormat="1" ht="13.5" customHeight="1"/>
    <row r="208" s="7" customFormat="1" ht="13.5" customHeight="1"/>
    <row r="209" s="7" customFormat="1" ht="13.5" customHeight="1"/>
    <row r="210" s="7" customFormat="1" ht="13.5" customHeight="1"/>
    <row r="211" s="7" customFormat="1" ht="13.5" customHeight="1"/>
    <row r="212" s="7" customFormat="1" ht="13.5" customHeight="1"/>
    <row r="213" s="7" customFormat="1" ht="13.5" customHeight="1"/>
    <row r="214" s="7" customFormat="1" ht="13.5" customHeight="1"/>
    <row r="215" s="7" customFormat="1" ht="13.5" customHeight="1"/>
    <row r="216" s="7" customFormat="1" ht="13.5" customHeight="1"/>
    <row r="217" s="7" customFormat="1" ht="13.5" customHeight="1"/>
    <row r="218" s="7" customFormat="1" ht="13.5" customHeight="1"/>
    <row r="219" s="7" customFormat="1" ht="13.5" customHeight="1"/>
    <row r="220" s="7" customFormat="1" ht="13.5" customHeight="1"/>
    <row r="221" s="7" customFormat="1" ht="13.5" customHeight="1"/>
    <row r="222" s="7" customFormat="1" ht="13.5" customHeight="1"/>
    <row r="223" s="7" customFormat="1" ht="13.5" customHeight="1"/>
    <row r="224" s="7" customFormat="1" ht="13.5" customHeight="1"/>
    <row r="225" s="7" customFormat="1" ht="13.5" customHeight="1"/>
    <row r="226" s="7" customFormat="1" ht="13.5" customHeight="1"/>
    <row r="227" s="7" customFormat="1" ht="13.5" customHeight="1"/>
    <row r="228" s="7" customFormat="1" ht="13.5" customHeight="1"/>
    <row r="229" s="7" customFormat="1" ht="13.5" customHeight="1"/>
    <row r="230" s="7" customFormat="1" ht="13.5" customHeight="1"/>
    <row r="231" s="7" customFormat="1" ht="13.5" customHeight="1"/>
    <row r="232" s="7" customFormat="1" ht="13.5" customHeight="1"/>
    <row r="233" s="7" customFormat="1" ht="13.5" customHeight="1"/>
    <row r="234" s="7" customFormat="1" ht="13.5" customHeight="1"/>
    <row r="235" s="7" customFormat="1" ht="13.5" customHeight="1"/>
    <row r="236" s="7" customFormat="1" ht="13.5" customHeight="1"/>
    <row r="237" s="7" customFormat="1" ht="13.5" customHeight="1"/>
    <row r="238" s="7" customFormat="1" ht="13.5" customHeight="1"/>
    <row r="239" s="7" customFormat="1" ht="13.5" customHeight="1"/>
    <row r="240" s="7" customFormat="1" ht="13.5" customHeight="1"/>
    <row r="241" s="7" customFormat="1" ht="13.5" customHeight="1"/>
    <row r="242" s="7" customFormat="1" ht="13.5" customHeight="1"/>
    <row r="243" s="7" customFormat="1" ht="13.5" customHeight="1"/>
    <row r="244" s="7" customFormat="1" ht="13.5" customHeight="1"/>
    <row r="245" s="7" customFormat="1" ht="13.5" customHeight="1"/>
    <row r="246" s="7" customFormat="1" ht="13.5" customHeight="1"/>
    <row r="247" s="7" customFormat="1" ht="13.5" customHeight="1"/>
    <row r="248" s="7" customFormat="1" ht="13.5" customHeight="1"/>
    <row r="249" s="7" customFormat="1" ht="13.5" customHeight="1"/>
    <row r="250" s="7" customFormat="1" ht="13.5" customHeight="1"/>
    <row r="251" s="7" customFormat="1" ht="13.5" customHeight="1"/>
    <row r="252" s="7" customFormat="1" ht="13.5" customHeight="1"/>
    <row r="253" s="7" customFormat="1" ht="13.5" customHeight="1"/>
    <row r="254" s="7" customFormat="1" ht="13.5" customHeight="1"/>
    <row r="255" s="7" customFormat="1" ht="13.5" customHeight="1"/>
    <row r="256" s="7" customFormat="1" ht="13.5" customHeight="1"/>
    <row r="257" s="7" customFormat="1" ht="13.5" customHeight="1"/>
    <row r="258" s="7" customFormat="1" ht="13.5" customHeight="1"/>
    <row r="259" s="7" customFormat="1" ht="13.5" customHeight="1"/>
    <row r="260" s="7" customFormat="1" ht="13.5" customHeight="1"/>
    <row r="261" s="7" customFormat="1" ht="13.5" customHeight="1"/>
    <row r="262" s="7" customFormat="1" ht="13.5" customHeight="1"/>
    <row r="263" s="7" customFormat="1" ht="13.5" customHeight="1"/>
    <row r="264" s="7" customFormat="1" ht="13.5" customHeight="1"/>
    <row r="265" s="7" customFormat="1" ht="13.5" customHeight="1"/>
    <row r="266" s="7" customFormat="1" ht="13.5" customHeight="1"/>
    <row r="267" s="7" customFormat="1" ht="13.5" customHeight="1"/>
    <row r="268" s="7" customFormat="1" ht="13.5" customHeight="1"/>
    <row r="269" s="7" customFormat="1" ht="13.5" customHeight="1"/>
    <row r="270" s="7" customFormat="1" ht="13.5" customHeight="1"/>
    <row r="271" s="7" customFormat="1" ht="13.5" customHeight="1"/>
    <row r="272" s="7" customFormat="1" ht="13.5" customHeight="1"/>
    <row r="273" s="7" customFormat="1" ht="13.5" customHeight="1"/>
    <row r="274" s="7" customFormat="1" ht="13.5" customHeight="1"/>
    <row r="275" s="7" customFormat="1" ht="13.5" customHeight="1"/>
    <row r="276" s="7" customFormat="1" ht="13.5" customHeight="1"/>
    <row r="277" s="7" customFormat="1" ht="13.5" customHeight="1"/>
    <row r="278" s="7" customFormat="1" ht="13.5" customHeight="1"/>
    <row r="279" s="7" customFormat="1" ht="13.5" customHeight="1"/>
    <row r="280" s="7" customFormat="1" ht="13.5" customHeight="1"/>
    <row r="281" s="7" customFormat="1" ht="13.5" customHeight="1"/>
    <row r="282" s="7" customFormat="1" ht="13.5" customHeight="1"/>
    <row r="283" s="7" customFormat="1" ht="13.5" customHeight="1"/>
    <row r="284" s="7" customFormat="1" ht="13.5" customHeight="1"/>
    <row r="285" s="7" customFormat="1" ht="13.5" customHeight="1"/>
    <row r="286" s="7" customFormat="1" ht="13.5" customHeight="1"/>
    <row r="287" s="7" customFormat="1" ht="13.5" customHeight="1"/>
    <row r="288" s="7" customFormat="1" ht="13.5" customHeight="1"/>
    <row r="289" s="7" customFormat="1" ht="13.5" customHeight="1"/>
    <row r="290" s="7" customFormat="1" ht="13.5" customHeight="1"/>
    <row r="291" s="7" customFormat="1" ht="13.5" customHeight="1"/>
    <row r="292" s="7" customFormat="1" ht="13.5" customHeight="1"/>
    <row r="293" s="7" customFormat="1" ht="13.5" customHeight="1"/>
    <row r="294" s="7" customFormat="1" ht="13.5" customHeight="1"/>
    <row r="295" s="7" customFormat="1" ht="13.5" customHeight="1"/>
    <row r="296" s="7" customFormat="1" ht="13.5" customHeight="1"/>
    <row r="297" s="7" customFormat="1" ht="13.5" customHeight="1"/>
    <row r="298" s="7" customFormat="1" ht="13.5" customHeight="1"/>
    <row r="299" s="7" customFormat="1" ht="13.5" customHeight="1"/>
    <row r="300" s="7" customFormat="1" ht="13.5" customHeight="1"/>
    <row r="301" s="7" customFormat="1" ht="13.5" customHeight="1"/>
    <row r="302" s="7" customFormat="1" ht="13.5" customHeight="1"/>
    <row r="303" s="7" customFormat="1" ht="13.5" customHeight="1"/>
    <row r="304" s="7" customFormat="1" ht="13.5" customHeight="1"/>
    <row r="305" s="7" customFormat="1" ht="13.5" customHeight="1"/>
    <row r="306" s="7" customFormat="1" ht="13.5" customHeight="1"/>
    <row r="307" s="7" customFormat="1" ht="13.5" customHeight="1"/>
    <row r="308" s="7" customFormat="1" ht="13.5" customHeight="1"/>
    <row r="309" s="7" customFormat="1" ht="13.5" customHeight="1"/>
    <row r="310" s="7" customFormat="1" ht="13.5" customHeight="1"/>
    <row r="311" s="7" customFormat="1" ht="13.5" customHeight="1"/>
    <row r="312" s="7" customFormat="1" ht="13.5" customHeight="1"/>
    <row r="313" s="7" customFormat="1" ht="13.5" customHeight="1"/>
    <row r="314" s="7" customFormat="1" ht="13.5" customHeight="1"/>
    <row r="315" s="7" customFormat="1" ht="13.5" customHeight="1"/>
    <row r="316" s="7" customFormat="1" ht="13.5" customHeight="1"/>
    <row r="317" s="7" customFormat="1" ht="13.5" customHeight="1"/>
    <row r="318" s="7" customFormat="1" ht="13.5" customHeight="1"/>
    <row r="319" s="7" customFormat="1" ht="13.5" customHeight="1"/>
    <row r="320" s="7" customFormat="1" ht="13.5" customHeight="1"/>
    <row r="321" s="7" customFormat="1" ht="13.5" customHeight="1"/>
    <row r="322" s="7" customFormat="1" ht="13.5" customHeight="1"/>
    <row r="323" s="7" customFormat="1" ht="13.5" customHeight="1"/>
    <row r="324" s="7" customFormat="1" ht="13.5" customHeight="1"/>
    <row r="325" s="7" customFormat="1" ht="13.5" customHeight="1"/>
    <row r="326" s="7" customFormat="1" ht="13.5" customHeight="1"/>
    <row r="327" s="7" customFormat="1" ht="13.5" customHeight="1"/>
    <row r="328" s="7" customFormat="1" ht="13.5" customHeight="1"/>
    <row r="329" s="7" customFormat="1" ht="13.5" customHeight="1"/>
    <row r="330" s="7" customFormat="1" ht="13.5" customHeight="1"/>
    <row r="331" s="7" customFormat="1" ht="13.5" customHeight="1"/>
    <row r="332" s="7" customFormat="1" ht="13.5" customHeight="1"/>
    <row r="333" s="7" customFormat="1" ht="13.5" customHeight="1"/>
    <row r="334" s="7" customFormat="1" ht="13.5" customHeight="1"/>
    <row r="335" s="7" customFormat="1" ht="13.5" customHeight="1"/>
    <row r="336" s="7" customFormat="1" ht="13.5" customHeight="1"/>
    <row r="337" s="7" customFormat="1" ht="13.5" customHeight="1"/>
    <row r="338" s="7" customFormat="1" ht="13.5" customHeight="1"/>
    <row r="339" s="7" customFormat="1" ht="13.5" customHeight="1"/>
    <row r="340" s="7" customFormat="1" ht="13.5" customHeight="1"/>
    <row r="341" s="7" customFormat="1" ht="13.5" customHeight="1"/>
    <row r="342" s="7" customFormat="1" ht="13.5" customHeight="1"/>
    <row r="343" s="7" customFormat="1" ht="13.5" customHeight="1"/>
    <row r="344" s="7" customFormat="1" ht="13.5" customHeight="1"/>
    <row r="345" s="7" customFormat="1" ht="13.5" customHeight="1"/>
    <row r="346" s="7" customFormat="1" ht="13.5" customHeight="1"/>
    <row r="347" s="7" customFormat="1" ht="13.5" customHeight="1"/>
    <row r="348" s="7" customFormat="1" ht="13.5" customHeight="1"/>
    <row r="349" s="7" customFormat="1" ht="13.5" customHeight="1"/>
    <row r="350" s="7" customFormat="1" ht="13.5" customHeight="1"/>
    <row r="351" s="7" customFormat="1" ht="13.5" customHeight="1"/>
    <row r="352" s="7" customFormat="1" ht="13.5" customHeight="1"/>
    <row r="353" s="7" customFormat="1" ht="13.5" customHeight="1"/>
    <row r="354" s="7" customFormat="1" ht="13.5" customHeight="1"/>
    <row r="355" s="7" customFormat="1" ht="13.5" customHeight="1"/>
    <row r="356" s="7" customFormat="1" ht="13.5" customHeight="1"/>
    <row r="357" s="7" customFormat="1" ht="13.5" customHeight="1"/>
    <row r="358" s="7" customFormat="1" ht="13.5" customHeight="1"/>
    <row r="359" s="7" customFormat="1" ht="13.5" customHeight="1"/>
    <row r="360" s="7" customFormat="1" ht="13.5" customHeight="1"/>
    <row r="361" s="7" customFormat="1" ht="13.5" customHeight="1"/>
    <row r="362" s="7" customFormat="1" ht="13.5" customHeight="1"/>
    <row r="363" s="7" customFormat="1" ht="13.5" customHeight="1"/>
    <row r="364" s="7" customFormat="1" ht="13.5" customHeight="1"/>
    <row r="365" s="7" customFormat="1" ht="13.5" customHeight="1"/>
    <row r="366" s="7" customFormat="1" ht="13.5" customHeight="1"/>
    <row r="367" s="7" customFormat="1" ht="13.5" customHeight="1"/>
    <row r="368" s="7" customFormat="1" ht="13.5" customHeight="1"/>
    <row r="369" s="7" customFormat="1" ht="13.5" customHeight="1"/>
    <row r="370" s="7" customFormat="1" ht="13.5" customHeight="1"/>
    <row r="371" s="7" customFormat="1" ht="13.5" customHeight="1"/>
    <row r="372" s="7" customFormat="1" ht="13.5" customHeight="1"/>
    <row r="373" s="7" customFormat="1" ht="13.5" customHeight="1"/>
    <row r="374" s="7" customFormat="1" ht="13.5" customHeight="1"/>
    <row r="375" s="7" customFormat="1" ht="13.5" customHeight="1"/>
    <row r="376" s="7" customFormat="1" ht="13.5" customHeight="1"/>
    <row r="377" s="7" customFormat="1" ht="13.5" customHeight="1"/>
    <row r="378" s="7" customFormat="1" ht="13.5" customHeight="1"/>
    <row r="379" s="7" customFormat="1" ht="13.5" customHeight="1"/>
    <row r="380" s="7" customFormat="1" ht="13.5" customHeight="1"/>
    <row r="381" s="7" customFormat="1" ht="13.5" customHeight="1"/>
    <row r="382" s="7" customFormat="1" ht="13.5" customHeight="1"/>
    <row r="383" s="7" customFormat="1" ht="13.5" customHeight="1"/>
    <row r="384" s="7" customFormat="1" ht="13.5" customHeight="1"/>
    <row r="385" s="7" customFormat="1" ht="13.5" customHeight="1"/>
    <row r="386" s="7" customFormat="1" ht="13.5" customHeight="1"/>
    <row r="387" s="7" customFormat="1" ht="13.5" customHeight="1"/>
    <row r="388" s="7" customFormat="1" ht="13.5" customHeight="1"/>
    <row r="389" s="7" customFormat="1" ht="13.5" customHeight="1"/>
    <row r="390" s="7" customFormat="1" ht="13.5" customHeight="1"/>
    <row r="391" s="7" customFormat="1" ht="13.5" customHeight="1"/>
    <row r="392" s="7" customFormat="1" ht="13.5" customHeight="1"/>
    <row r="393" s="7" customFormat="1" ht="13.5" customHeight="1"/>
    <row r="394" s="7" customFormat="1" ht="13.5" customHeight="1"/>
    <row r="395" s="7" customFormat="1" ht="13.5" customHeight="1"/>
    <row r="396" s="7" customFormat="1" ht="13.5" customHeight="1"/>
    <row r="397" s="7" customFormat="1" ht="13.5" customHeight="1"/>
    <row r="398" s="7" customFormat="1" ht="13.5" customHeight="1"/>
    <row r="399" s="7" customFormat="1" ht="13.5" customHeight="1"/>
    <row r="400" s="7" customFormat="1" ht="13.5" customHeight="1"/>
    <row r="401" s="7" customFormat="1" ht="13.5" customHeight="1"/>
    <row r="402" s="7" customFormat="1" ht="13.5" customHeight="1"/>
    <row r="403" s="7" customFormat="1" ht="13.5" customHeight="1"/>
    <row r="404" s="7" customFormat="1" ht="13.5" customHeight="1"/>
    <row r="405" s="7" customFormat="1" ht="13.5" customHeight="1"/>
    <row r="406" s="7" customFormat="1" ht="13.5" customHeight="1"/>
    <row r="407" s="7" customFormat="1" ht="13.5" customHeight="1"/>
    <row r="408" s="7" customFormat="1" ht="13.5" customHeight="1"/>
    <row r="409" s="7" customFormat="1" ht="13.5" customHeight="1"/>
    <row r="410" s="7" customFormat="1" ht="13.5" customHeight="1"/>
    <row r="411" s="7" customFormat="1" ht="13.5" customHeight="1"/>
    <row r="412" s="7" customFormat="1" ht="13.5" customHeight="1"/>
    <row r="413" s="7" customFormat="1" ht="13.5" customHeight="1"/>
    <row r="414" s="7" customFormat="1" ht="13.5" customHeight="1"/>
    <row r="415" s="7" customFormat="1" ht="13.5" customHeight="1"/>
    <row r="416" s="7" customFormat="1" ht="13.5" customHeight="1"/>
    <row r="417" s="7" customFormat="1" ht="13.5" customHeight="1"/>
    <row r="418" s="7" customFormat="1" ht="13.5" customHeight="1"/>
    <row r="419" s="7" customFormat="1" ht="13.5" customHeight="1"/>
    <row r="420" s="7" customFormat="1" ht="13.5" customHeight="1"/>
    <row r="421" s="7" customFormat="1" ht="13.5" customHeight="1"/>
    <row r="422" s="7" customFormat="1" ht="13.5" customHeight="1"/>
    <row r="423" s="7" customFormat="1" ht="13.5" customHeight="1"/>
    <row r="424" s="7" customFormat="1" ht="13.5" customHeight="1"/>
    <row r="425" s="7" customFormat="1" ht="13.5" customHeight="1"/>
    <row r="426" s="7" customFormat="1" ht="13.5" customHeight="1"/>
    <row r="427" s="7" customFormat="1" ht="13.5" customHeight="1"/>
    <row r="428" s="7" customFormat="1" ht="13.5" customHeight="1"/>
    <row r="429" s="7" customFormat="1" ht="13.5" customHeight="1"/>
    <row r="430" s="7" customFormat="1" ht="13.5" customHeight="1"/>
    <row r="431" s="7" customFormat="1" ht="13.5" customHeight="1"/>
    <row r="432" s="7" customFormat="1" ht="13.5" customHeight="1"/>
    <row r="433" s="7" customFormat="1" ht="13.5" customHeight="1"/>
    <row r="434" s="7" customFormat="1" ht="13.5" customHeight="1"/>
    <row r="435" s="7" customFormat="1" ht="13.5" customHeight="1"/>
    <row r="436" s="7" customFormat="1" ht="13.5" customHeight="1"/>
    <row r="437" s="7" customFormat="1" ht="13.5" customHeight="1"/>
    <row r="438" s="7" customFormat="1" ht="13.5" customHeight="1"/>
    <row r="439" s="7" customFormat="1" ht="13.5" customHeight="1"/>
    <row r="440" s="7" customFormat="1" ht="13.5" customHeight="1"/>
    <row r="441" s="7" customFormat="1" ht="13.5" customHeight="1"/>
    <row r="442" s="7" customFormat="1" ht="13.5" customHeight="1"/>
    <row r="443" s="7" customFormat="1" ht="13.5" customHeight="1"/>
    <row r="444" s="7" customFormat="1" ht="13.5" customHeight="1"/>
    <row r="445" s="7" customFormat="1" ht="13.5" customHeight="1"/>
    <row r="446" s="7" customFormat="1" ht="13.5" customHeight="1"/>
    <row r="447" s="7" customFormat="1" ht="13.5" customHeight="1"/>
    <row r="448" s="7" customFormat="1" ht="13.5" customHeight="1"/>
    <row r="449" s="7" customFormat="1" ht="13.5" customHeight="1"/>
    <row r="450" s="7" customFormat="1" ht="13.5" customHeight="1"/>
    <row r="451" s="7" customFormat="1" ht="13.5" customHeight="1"/>
    <row r="452" s="7" customFormat="1" ht="13.5" customHeight="1"/>
    <row r="453" s="7" customFormat="1" ht="13.5" customHeight="1"/>
    <row r="454" s="7" customFormat="1" ht="13.5" customHeight="1"/>
    <row r="455" s="7" customFormat="1" ht="13.5" customHeight="1"/>
    <row r="456" s="7" customFormat="1" ht="13.5" customHeight="1"/>
    <row r="457" s="7" customFormat="1" ht="13.5" customHeight="1"/>
    <row r="458" s="7" customFormat="1" ht="13.5" customHeight="1"/>
    <row r="459" s="7" customFormat="1" ht="13.5" customHeight="1"/>
    <row r="460" s="7" customFormat="1" ht="13.5" customHeight="1"/>
    <row r="461" s="7" customFormat="1" ht="13.5" customHeight="1"/>
    <row r="462" s="7" customFormat="1" ht="13.5" customHeight="1"/>
    <row r="463" s="7" customFormat="1" ht="13.5" customHeight="1"/>
    <row r="464" s="7" customFormat="1" ht="13.5" customHeight="1"/>
    <row r="465" s="7" customFormat="1" ht="13.5" customHeight="1"/>
    <row r="466" s="7" customFormat="1" ht="13.5" customHeight="1"/>
    <row r="467" s="7" customFormat="1" ht="13.5" customHeight="1"/>
    <row r="468" s="7" customFormat="1" ht="13.5" customHeight="1"/>
    <row r="469" s="7" customFormat="1" ht="13.5" customHeight="1"/>
    <row r="470" s="7" customFormat="1" ht="13.5" customHeight="1"/>
    <row r="471" s="7" customFormat="1" ht="13.5" customHeight="1"/>
    <row r="472" s="7" customFormat="1" ht="13.5" customHeight="1"/>
    <row r="473" s="7" customFormat="1" ht="13.5" customHeight="1"/>
    <row r="474" s="7" customFormat="1" ht="13.5" customHeight="1"/>
    <row r="475" s="7" customFormat="1" ht="13.5" customHeight="1"/>
    <row r="476" s="7" customFormat="1" ht="13.5" customHeight="1"/>
    <row r="477" s="7" customFormat="1" ht="13.5" customHeight="1"/>
    <row r="478" s="7" customFormat="1" ht="13.5" customHeight="1"/>
    <row r="479" s="7" customFormat="1" ht="13.5" customHeight="1"/>
    <row r="480" s="7" customFormat="1" ht="13.5" customHeight="1"/>
    <row r="481" s="7" customFormat="1" ht="13.5" customHeight="1"/>
    <row r="482" s="7" customFormat="1" ht="13.5" customHeight="1"/>
    <row r="483" s="7" customFormat="1" ht="13.5" customHeight="1"/>
    <row r="484" s="7" customFormat="1" ht="13.5" customHeight="1"/>
    <row r="485" s="7" customFormat="1" ht="13.5" customHeight="1"/>
    <row r="486" s="7" customFormat="1" ht="13.5" customHeight="1"/>
    <row r="487" s="7" customFormat="1" ht="13.5" customHeight="1"/>
    <row r="488" s="7" customFormat="1" ht="13.5" customHeight="1"/>
    <row r="489" s="7" customFormat="1" ht="13.5" customHeight="1"/>
    <row r="490" s="7" customFormat="1" ht="13.5" customHeight="1"/>
    <row r="491" s="7" customFormat="1" ht="13.5" customHeight="1"/>
    <row r="492" s="7" customFormat="1" ht="13.5" customHeight="1"/>
    <row r="493" s="7" customFormat="1" ht="13.5" customHeight="1"/>
    <row r="494" s="7" customFormat="1" ht="13.5" customHeight="1"/>
    <row r="495" s="7" customFormat="1" ht="13.5" customHeight="1"/>
    <row r="496" s="7" customFormat="1" ht="13.5" customHeight="1"/>
    <row r="497" s="7" customFormat="1" ht="13.5" customHeight="1"/>
    <row r="498" s="7" customFormat="1" ht="13.5" customHeight="1"/>
    <row r="499" s="7" customFormat="1" ht="13.5" customHeight="1"/>
    <row r="500" s="7" customFormat="1" ht="13.5" customHeight="1"/>
    <row r="501" s="7" customFormat="1" ht="13.5" customHeight="1"/>
    <row r="502" s="7" customFormat="1" ht="13.5" customHeight="1"/>
    <row r="503" s="7" customFormat="1" ht="13.5" customHeight="1"/>
    <row r="504" s="7" customFormat="1" ht="13.5" customHeight="1"/>
    <row r="505" s="7" customFormat="1" ht="13.5" customHeight="1"/>
    <row r="506" s="7" customFormat="1" ht="13.5" customHeight="1"/>
    <row r="507" s="7" customFormat="1" ht="13.5" customHeight="1"/>
    <row r="508" s="7" customFormat="1" ht="13.5" customHeight="1"/>
    <row r="509" s="7" customFormat="1" ht="13.5" customHeight="1"/>
    <row r="510" s="7" customFormat="1" ht="13.5" customHeight="1"/>
    <row r="511" s="7" customFormat="1" ht="13.5" customHeight="1"/>
    <row r="512" s="7" customFormat="1" ht="13.5" customHeight="1"/>
    <row r="513" s="7" customFormat="1" ht="13.5" customHeight="1"/>
    <row r="514" s="7" customFormat="1" ht="13.5" customHeight="1"/>
    <row r="515" s="7" customFormat="1" ht="13.5" customHeight="1"/>
    <row r="516" s="7" customFormat="1" ht="13.5" customHeight="1"/>
    <row r="517" s="7" customFormat="1" ht="13.5" customHeight="1"/>
    <row r="518" s="7" customFormat="1" ht="13.5" customHeight="1"/>
    <row r="519" s="7" customFormat="1" ht="13.5" customHeight="1"/>
    <row r="520" s="7" customFormat="1" ht="13.5" customHeight="1"/>
    <row r="521" s="7" customFormat="1" ht="13.5" customHeight="1"/>
    <row r="522" s="7" customFormat="1" ht="13.5" customHeight="1"/>
    <row r="523" s="7" customFormat="1" ht="13.5" customHeight="1"/>
    <row r="524" s="7" customFormat="1" ht="13.5" customHeight="1"/>
    <row r="525" s="7" customFormat="1" ht="13.5" customHeight="1"/>
    <row r="526" s="7" customFormat="1" ht="13.5" customHeight="1"/>
    <row r="527" s="7" customFormat="1" ht="13.5" customHeight="1"/>
    <row r="528" s="7" customFormat="1" ht="13.5" customHeight="1"/>
    <row r="529" s="7" customFormat="1" ht="13.5" customHeight="1"/>
    <row r="530" s="7" customFormat="1" ht="13.5" customHeight="1"/>
    <row r="531" s="7" customFormat="1" ht="13.5" customHeight="1"/>
    <row r="532" s="7" customFormat="1" ht="13.5" customHeight="1"/>
    <row r="533" s="7" customFormat="1" ht="13.5" customHeight="1"/>
    <row r="534" s="7" customFormat="1" ht="13.5" customHeight="1"/>
    <row r="535" s="7" customFormat="1" ht="13.5" customHeight="1"/>
    <row r="536" s="7" customFormat="1" ht="13.5" customHeight="1"/>
    <row r="537" s="7" customFormat="1" ht="13.5" customHeight="1"/>
    <row r="538" s="7" customFormat="1" ht="13.5" customHeight="1"/>
    <row r="539" s="7" customFormat="1" ht="13.5" customHeight="1"/>
    <row r="540" s="7" customFormat="1" ht="13.5" customHeight="1"/>
    <row r="541" s="7" customFormat="1" ht="13.5" customHeight="1"/>
    <row r="542" s="7" customFormat="1" ht="13.5" customHeight="1"/>
    <row r="543" s="7" customFormat="1" ht="13.5" customHeight="1"/>
    <row r="544" s="7" customFormat="1" ht="13.5" customHeight="1"/>
    <row r="545" s="7" customFormat="1" ht="13.5" customHeight="1"/>
    <row r="546" s="7" customFormat="1" ht="13.5" customHeight="1"/>
    <row r="547" s="7" customFormat="1" ht="13.5" customHeight="1"/>
    <row r="548" s="7" customFormat="1" ht="13.5" customHeight="1"/>
    <row r="549" s="7" customFormat="1" ht="13.5" customHeight="1"/>
    <row r="550" s="7" customFormat="1" ht="13.5" customHeight="1"/>
    <row r="551" s="7" customFormat="1" ht="13.5" customHeight="1"/>
    <row r="552" s="7" customFormat="1" ht="13.5" customHeight="1"/>
    <row r="553" s="7" customFormat="1" ht="13.5" customHeight="1"/>
    <row r="554" s="7" customFormat="1" ht="13.5" customHeight="1"/>
    <row r="555" s="7" customFormat="1" ht="13.5" customHeight="1"/>
    <row r="556" s="7" customFormat="1" ht="13.5" customHeight="1"/>
    <row r="557" s="7" customFormat="1" ht="13.5" customHeight="1"/>
    <row r="558" s="7" customFormat="1" ht="13.5" customHeight="1"/>
    <row r="559" s="7" customFormat="1" ht="13.5" customHeight="1"/>
    <row r="560" s="7" customFormat="1" ht="13.5" customHeight="1"/>
    <row r="561" s="7" customFormat="1" ht="13.5" customHeight="1"/>
    <row r="562" s="7" customFormat="1" ht="13.5" customHeight="1"/>
    <row r="563" s="7" customFormat="1" ht="13.5" customHeight="1"/>
    <row r="564" s="7" customFormat="1" ht="13.5" customHeight="1"/>
    <row r="565" s="7" customFormat="1" ht="13.5" customHeight="1"/>
    <row r="566" s="7" customFormat="1" ht="13.5" customHeight="1"/>
    <row r="567" s="7" customFormat="1" ht="13.5" customHeight="1"/>
    <row r="568" s="7" customFormat="1" ht="13.5" customHeight="1"/>
    <row r="569" s="7" customFormat="1" ht="13.5" customHeight="1"/>
    <row r="570" s="7" customFormat="1" ht="13.5" customHeight="1"/>
    <row r="571" s="7" customFormat="1" ht="13.5" customHeight="1"/>
    <row r="572" s="7" customFormat="1" ht="13.5" customHeight="1"/>
    <row r="573" s="7" customFormat="1" ht="13.5" customHeight="1"/>
    <row r="574" s="7" customFormat="1" ht="13.5" customHeight="1"/>
    <row r="575" s="7" customFormat="1" ht="13.5" customHeight="1"/>
    <row r="576" s="7" customFormat="1" ht="13.5" customHeight="1"/>
    <row r="577" s="7" customFormat="1" ht="13.5" customHeight="1"/>
    <row r="578" s="7" customFormat="1" ht="13.5" customHeight="1"/>
    <row r="579" s="7" customFormat="1" ht="13.5" customHeight="1"/>
    <row r="580" s="7" customFormat="1" ht="13.5" customHeight="1"/>
    <row r="581" s="7" customFormat="1" ht="13.5" customHeight="1"/>
    <row r="582" s="7" customFormat="1" ht="13.5" customHeight="1"/>
    <row r="583" s="7" customFormat="1" ht="13.5" customHeight="1"/>
    <row r="584" s="7" customFormat="1" ht="13.5" customHeight="1"/>
    <row r="585" s="7" customFormat="1" ht="13.5" customHeight="1"/>
    <row r="586" s="7" customFormat="1" ht="13.5" customHeight="1"/>
    <row r="587" s="7" customFormat="1" ht="13.5" customHeight="1"/>
    <row r="588" s="7" customFormat="1" ht="13.5" customHeight="1"/>
    <row r="589" s="7" customFormat="1" ht="13.5" customHeight="1"/>
    <row r="590" s="7" customFormat="1" ht="13.5" customHeight="1"/>
    <row r="591" s="7" customFormat="1" ht="13.5" customHeight="1"/>
    <row r="592" s="7" customFormat="1" ht="13.5" customHeight="1"/>
    <row r="593" s="7" customFormat="1" ht="13.5" customHeight="1"/>
    <row r="594" s="7" customFormat="1" ht="13.5" customHeight="1"/>
    <row r="595" s="7" customFormat="1" ht="13.5" customHeight="1"/>
    <row r="596" s="7" customFormat="1" ht="13.5" customHeight="1"/>
    <row r="597" s="7" customFormat="1" ht="13.5" customHeight="1"/>
    <row r="598" s="7" customFormat="1" ht="13.5" customHeight="1"/>
    <row r="599" s="7" customFormat="1" ht="13.5" customHeight="1"/>
    <row r="600" s="7" customFormat="1" ht="13.5" customHeight="1"/>
    <row r="601" s="7" customFormat="1" ht="13.5" customHeight="1"/>
    <row r="602" s="7" customFormat="1" ht="13.5" customHeight="1"/>
    <row r="603" s="7" customFormat="1" ht="13.5" customHeight="1"/>
    <row r="604" s="7" customFormat="1" ht="13.5" customHeight="1"/>
    <row r="605" s="7" customFormat="1" ht="13.5" customHeight="1"/>
    <row r="606" s="7" customFormat="1" ht="13.5" customHeight="1"/>
    <row r="607" s="7" customFormat="1" ht="13.5" customHeight="1"/>
    <row r="608" s="7" customFormat="1" ht="13.5" customHeight="1"/>
    <row r="609" s="7" customFormat="1" ht="13.5" customHeight="1"/>
    <row r="610" s="7" customFormat="1" ht="13.5" customHeight="1"/>
    <row r="611" s="7" customFormat="1" ht="13.5" customHeight="1"/>
    <row r="612" s="7" customFormat="1" ht="13.5" customHeight="1"/>
    <row r="613" s="7" customFormat="1" ht="13.5" customHeight="1"/>
    <row r="614" s="7" customFormat="1" ht="13.5" customHeight="1"/>
    <row r="615" s="7" customFormat="1" ht="13.5" customHeight="1"/>
    <row r="616" s="7" customFormat="1" ht="13.5" customHeight="1"/>
    <row r="617" s="7" customFormat="1" ht="13.5" customHeight="1"/>
    <row r="618" s="7" customFormat="1" ht="13.5" customHeight="1"/>
    <row r="619" s="7" customFormat="1" ht="13.5" customHeight="1"/>
    <row r="620" s="7" customFormat="1" ht="13.5" customHeight="1"/>
    <row r="621" s="7" customFormat="1" ht="13.5" customHeight="1"/>
    <row r="622" s="7" customFormat="1" ht="13.5" customHeight="1"/>
    <row r="623" s="7" customFormat="1" ht="13.5" customHeight="1"/>
    <row r="624" s="7" customFormat="1" ht="13.5" customHeight="1"/>
    <row r="625" s="7" customFormat="1" ht="13.5" customHeight="1"/>
    <row r="626" s="7" customFormat="1" ht="13.5" customHeight="1"/>
    <row r="627" s="7" customFormat="1" ht="13.5" customHeight="1"/>
    <row r="628" s="7" customFormat="1" ht="13.5" customHeight="1"/>
    <row r="629" s="7" customFormat="1" ht="13.5" customHeight="1"/>
    <row r="630" s="7" customFormat="1" ht="13.5" customHeight="1"/>
    <row r="631" s="7" customFormat="1" ht="13.5" customHeight="1"/>
    <row r="632" s="7" customFormat="1" ht="13.5" customHeight="1"/>
    <row r="633" s="7" customFormat="1" ht="13.5" customHeight="1"/>
    <row r="634" s="7" customFormat="1" ht="13.5" customHeight="1"/>
    <row r="635" s="7" customFormat="1" ht="13.5" customHeight="1"/>
    <row r="636" s="7" customFormat="1" ht="13.5" customHeight="1"/>
    <row r="637" s="7" customFormat="1" ht="13.5" customHeight="1"/>
    <row r="638" s="7" customFormat="1" ht="13.5" customHeight="1"/>
    <row r="639" s="7" customFormat="1" ht="13.5" customHeight="1"/>
    <row r="640" s="7" customFormat="1" ht="13.5" customHeight="1"/>
    <row r="641" s="7" customFormat="1" ht="13.5" customHeight="1"/>
    <row r="642" s="7" customFormat="1" ht="13.5" customHeight="1"/>
    <row r="643" s="7" customFormat="1" ht="13.5" customHeight="1"/>
    <row r="644" s="7" customFormat="1" ht="13.5" customHeight="1"/>
    <row r="645" s="7" customFormat="1" ht="13.5" customHeight="1"/>
    <row r="646" s="7" customFormat="1" ht="13.5" customHeight="1"/>
    <row r="647" s="7" customFormat="1" ht="13.5" customHeight="1"/>
    <row r="648" s="7" customFormat="1" ht="13.5" customHeight="1"/>
    <row r="649" s="7" customFormat="1" ht="13.5" customHeight="1"/>
    <row r="650" s="7" customFormat="1" ht="13.5" customHeight="1"/>
    <row r="651" s="7" customFormat="1" ht="13.5" customHeight="1"/>
    <row r="652" s="7" customFormat="1" ht="13.5" customHeight="1"/>
    <row r="653" s="7" customFormat="1" ht="13.5" customHeight="1"/>
    <row r="654" s="7" customFormat="1" ht="13.5" customHeight="1"/>
    <row r="655" s="7" customFormat="1" ht="13.5" customHeight="1"/>
    <row r="656" s="7" customFormat="1" ht="13.5" customHeight="1"/>
    <row r="657" s="7" customFormat="1" ht="13.5" customHeight="1"/>
    <row r="658" s="7" customFormat="1" ht="13.5" customHeight="1"/>
    <row r="659" s="7" customFormat="1" ht="13.5" customHeight="1"/>
    <row r="660" s="7" customFormat="1" ht="13.5" customHeight="1"/>
    <row r="661" s="7" customFormat="1" ht="13.5" customHeight="1"/>
    <row r="662" s="7" customFormat="1" ht="13.5" customHeight="1"/>
    <row r="663" s="7" customFormat="1" ht="13.5" customHeight="1"/>
    <row r="664" s="7" customFormat="1" ht="13.5" customHeight="1"/>
    <row r="665" s="7" customFormat="1" ht="13.5" customHeight="1"/>
    <row r="666" s="7" customFormat="1" ht="13.5" customHeight="1"/>
    <row r="667" s="7" customFormat="1" ht="13.5" customHeight="1"/>
    <row r="668" s="7" customFormat="1" ht="13.5" customHeight="1"/>
    <row r="669" s="7" customFormat="1" ht="13.5" customHeight="1"/>
    <row r="670" s="7" customFormat="1" ht="13.5" customHeight="1"/>
    <row r="671" s="7" customFormat="1" ht="13.5" customHeight="1"/>
    <row r="672" s="7" customFormat="1" ht="13.5" customHeight="1"/>
    <row r="673" s="7" customFormat="1" ht="13.5" customHeight="1"/>
    <row r="674" s="7" customFormat="1" ht="13.5" customHeight="1"/>
    <row r="675" s="7" customFormat="1" ht="13.5" customHeight="1"/>
    <row r="676" s="7" customFormat="1" ht="13.5" customHeight="1"/>
    <row r="677" s="7" customFormat="1" ht="13.5" customHeight="1"/>
    <row r="678" s="7" customFormat="1" ht="13.5" customHeight="1"/>
    <row r="679" s="7" customFormat="1" ht="13.5" customHeight="1"/>
    <row r="680" s="7" customFormat="1" ht="13.5" customHeight="1"/>
    <row r="681" s="7" customFormat="1" ht="13.5" customHeight="1"/>
    <row r="682" s="7" customFormat="1" ht="13.5" customHeight="1"/>
    <row r="683" s="7" customFormat="1" ht="13.5" customHeight="1"/>
    <row r="684" s="7" customFormat="1" ht="13.5" customHeight="1"/>
    <row r="685" s="7" customFormat="1" ht="13.5" customHeight="1"/>
    <row r="686" s="7" customFormat="1" ht="13.5" customHeight="1"/>
    <row r="687" s="7" customFormat="1" ht="13.5" customHeight="1"/>
    <row r="688" s="7" customFormat="1" ht="13.5" customHeight="1"/>
    <row r="689" s="7" customFormat="1" ht="13.5" customHeight="1"/>
    <row r="690" s="7" customFormat="1" ht="13.5" customHeight="1"/>
    <row r="691" s="7" customFormat="1" ht="13.5" customHeight="1"/>
    <row r="692" s="7" customFormat="1" ht="13.5" customHeight="1"/>
    <row r="693" s="7" customFormat="1" ht="13.5" customHeight="1"/>
    <row r="694" s="7" customFormat="1" ht="13.5" customHeight="1"/>
    <row r="695" s="7" customFormat="1" ht="13.5" customHeight="1"/>
    <row r="696" s="7" customFormat="1" ht="13.5" customHeight="1"/>
    <row r="697" s="7" customFormat="1" ht="13.5" customHeight="1"/>
    <row r="698" s="7" customFormat="1" ht="13.5" customHeight="1"/>
    <row r="699" s="7" customFormat="1" ht="13.5" customHeight="1"/>
    <row r="700" s="7" customFormat="1" ht="13.5" customHeight="1"/>
    <row r="701" s="7" customFormat="1" ht="13.5" customHeight="1"/>
    <row r="702" s="7" customFormat="1" ht="13.5" customHeight="1"/>
    <row r="703" s="7" customFormat="1" ht="13.5" customHeight="1"/>
    <row r="704" s="7" customFormat="1" ht="13.5" customHeight="1"/>
    <row r="705" s="7" customFormat="1" ht="13.5" customHeight="1"/>
    <row r="706" s="7" customFormat="1" ht="13.5" customHeight="1"/>
    <row r="707" s="7" customFormat="1" ht="13.5" customHeight="1"/>
    <row r="708" s="7" customFormat="1" ht="13.5" customHeight="1"/>
    <row r="709" s="7" customFormat="1" ht="13.5" customHeight="1"/>
    <row r="710" s="7" customFormat="1" ht="13.5" customHeight="1"/>
    <row r="711" s="7" customFormat="1" ht="13.5" customHeight="1"/>
    <row r="712" s="7" customFormat="1" ht="13.5" customHeight="1"/>
    <row r="713" s="7" customFormat="1" ht="13.5" customHeight="1"/>
    <row r="714" s="7" customFormat="1" ht="13.5" customHeight="1"/>
    <row r="715" s="7" customFormat="1" ht="13.5" customHeight="1"/>
    <row r="716" s="7" customFormat="1" ht="13.5" customHeight="1"/>
    <row r="717" s="7" customFormat="1" ht="13.5" customHeight="1"/>
    <row r="718" s="7" customFormat="1" ht="13.5" customHeight="1"/>
    <row r="719" s="7" customFormat="1" ht="13.5" customHeight="1"/>
    <row r="720" s="7" customFormat="1" ht="13.5" customHeight="1"/>
    <row r="721" s="7" customFormat="1" ht="13.5" customHeight="1"/>
    <row r="722" s="7" customFormat="1" ht="13.5" customHeight="1"/>
    <row r="723" s="7" customFormat="1" ht="13.5" customHeight="1"/>
    <row r="724" s="7" customFormat="1" ht="13.5" customHeight="1"/>
    <row r="725" s="7" customFormat="1" ht="13.5" customHeight="1"/>
    <row r="726" s="7" customFormat="1" ht="13.5" customHeight="1"/>
    <row r="727" s="7" customFormat="1" ht="13.5" customHeight="1"/>
    <row r="728" s="7" customFormat="1" ht="13.5" customHeight="1"/>
    <row r="729" s="7" customFormat="1" ht="13.5" customHeight="1"/>
    <row r="730" s="7" customFormat="1" ht="13.5" customHeight="1"/>
    <row r="731" s="7" customFormat="1" ht="13.5" customHeight="1"/>
    <row r="732" s="7" customFormat="1" ht="13.5" customHeight="1"/>
    <row r="733" s="7" customFormat="1" ht="13.5" customHeight="1"/>
    <row r="734" s="7" customFormat="1" ht="13.5" customHeight="1"/>
    <row r="735" s="7" customFormat="1" ht="13.5" customHeight="1"/>
    <row r="736" s="7" customFormat="1" ht="13.5" customHeight="1"/>
    <row r="737" s="7" customFormat="1" ht="13.5" customHeight="1"/>
    <row r="738" s="7" customFormat="1" ht="13.5" customHeight="1"/>
    <row r="739" s="7" customFormat="1" ht="13.5" customHeight="1"/>
    <row r="740" s="7" customFormat="1" ht="13.5" customHeight="1"/>
    <row r="741" s="7" customFormat="1" ht="13.5" customHeight="1"/>
    <row r="742" s="7" customFormat="1" ht="13.5" customHeight="1"/>
    <row r="743" s="7" customFormat="1" ht="13.5" customHeight="1"/>
    <row r="744" s="7" customFormat="1" ht="13.5" customHeight="1"/>
    <row r="745" s="7" customFormat="1" ht="13.5" customHeight="1"/>
    <row r="746" s="7" customFormat="1" ht="13.5" customHeight="1"/>
    <row r="747" s="7" customFormat="1" ht="13.5" customHeight="1"/>
    <row r="748" s="7" customFormat="1" ht="13.5" customHeight="1"/>
    <row r="749" s="7" customFormat="1" ht="13.5" customHeight="1"/>
    <row r="750" s="7" customFormat="1" ht="13.5" customHeight="1"/>
    <row r="751" s="7" customFormat="1" ht="13.5" customHeight="1"/>
    <row r="752" s="7" customFormat="1" ht="13.5" customHeight="1"/>
    <row r="753" s="7" customFormat="1" ht="13.5" customHeight="1"/>
    <row r="754" s="7" customFormat="1" ht="13.5" customHeight="1"/>
    <row r="755" s="7" customFormat="1" ht="13.5" customHeight="1"/>
    <row r="756" s="7" customFormat="1" ht="13.5" customHeight="1"/>
    <row r="757" s="7" customFormat="1" ht="13.5" customHeight="1"/>
    <row r="758" s="7" customFormat="1" ht="13.5" customHeight="1"/>
    <row r="759" s="7" customFormat="1" ht="13.5" customHeight="1"/>
    <row r="760" s="7" customFormat="1" ht="13.5" customHeight="1"/>
    <row r="761" s="7" customFormat="1" ht="13.5" customHeight="1"/>
    <row r="762" s="7" customFormat="1" ht="13.5" customHeight="1"/>
    <row r="763" s="7" customFormat="1" ht="13.5" customHeight="1"/>
    <row r="764" s="7" customFormat="1" ht="13.5" customHeight="1"/>
    <row r="765" s="7" customFormat="1" ht="13.5" customHeight="1"/>
    <row r="766" s="7" customFormat="1" ht="13.5" customHeight="1"/>
    <row r="767" s="7" customFormat="1" ht="13.5" customHeight="1"/>
    <row r="768" s="7" customFormat="1" ht="13.5" customHeight="1"/>
    <row r="769" s="7" customFormat="1" ht="13.5" customHeight="1"/>
    <row r="770" s="7" customFormat="1" ht="13.5" customHeight="1"/>
    <row r="771" s="7" customFormat="1" ht="13.5" customHeight="1"/>
    <row r="772" s="7" customFormat="1" ht="13.5" customHeight="1"/>
    <row r="773" s="7" customFormat="1" ht="13.5" customHeight="1"/>
    <row r="774" s="7" customFormat="1" ht="13.5" customHeight="1"/>
    <row r="775" s="7" customFormat="1" ht="13.5" customHeight="1"/>
    <row r="776" s="7" customFormat="1" ht="13.5" customHeight="1"/>
    <row r="777" s="7" customFormat="1" ht="13.5" customHeight="1"/>
    <row r="778" s="7" customFormat="1" ht="13.5" customHeight="1"/>
    <row r="779" s="7" customFormat="1" ht="13.5" customHeight="1"/>
    <row r="780" s="7" customFormat="1" ht="13.5" customHeight="1"/>
    <row r="781" s="7" customFormat="1" ht="13.5" customHeight="1"/>
    <row r="782" s="7" customFormat="1" ht="13.5" customHeight="1"/>
    <row r="783" s="7" customFormat="1" ht="13.5" customHeight="1"/>
    <row r="784" s="7" customFormat="1" ht="13.5" customHeight="1"/>
    <row r="785" s="7" customFormat="1" ht="13.5" customHeight="1"/>
    <row r="786" s="7" customFormat="1" ht="13.5" customHeight="1"/>
    <row r="787" s="7" customFormat="1" ht="13.5" customHeight="1"/>
    <row r="788" s="7" customFormat="1" ht="13.5" customHeight="1"/>
    <row r="789" s="7" customFormat="1" ht="13.5" customHeight="1"/>
    <row r="790" s="7" customFormat="1" ht="13.5" customHeight="1"/>
    <row r="791" s="7" customFormat="1" ht="13.5" customHeight="1"/>
    <row r="792" s="7" customFormat="1" ht="13.5" customHeight="1"/>
    <row r="793" s="7" customFormat="1" ht="13.5" customHeight="1"/>
    <row r="794" s="7" customFormat="1" ht="13.5" customHeight="1"/>
    <row r="795" s="7" customFormat="1" ht="13.5" customHeight="1"/>
    <row r="796" s="7" customFormat="1" ht="13.5" customHeight="1"/>
    <row r="797" s="7" customFormat="1" ht="13.5" customHeight="1"/>
    <row r="798" s="7" customFormat="1" ht="13.5" customHeight="1"/>
    <row r="799" s="7" customFormat="1" ht="13.5" customHeight="1"/>
    <row r="800" s="7" customFormat="1" ht="13.5" customHeight="1"/>
    <row r="801" s="7" customFormat="1" ht="13.5" customHeight="1"/>
    <row r="802" s="7" customFormat="1" ht="13.5" customHeight="1"/>
    <row r="803" s="7" customFormat="1" ht="13.5" customHeight="1"/>
    <row r="804" s="7" customFormat="1" ht="13.5" customHeight="1"/>
    <row r="805" s="7" customFormat="1" ht="13.5" customHeight="1"/>
    <row r="806" s="7" customFormat="1" ht="13.5" customHeight="1"/>
    <row r="807" s="7" customFormat="1" ht="13.5" customHeight="1"/>
    <row r="808" s="7" customFormat="1" ht="13.5" customHeight="1"/>
    <row r="809" s="7" customFormat="1" ht="13.5" customHeight="1"/>
    <row r="810" s="7" customFormat="1" ht="13.5" customHeight="1"/>
    <row r="811" s="7" customFormat="1" ht="13.5" customHeight="1"/>
    <row r="812" s="7" customFormat="1" ht="13.5" customHeight="1"/>
    <row r="813" s="7" customFormat="1" ht="13.5" customHeight="1"/>
    <row r="814" s="7" customFormat="1" ht="13.5" customHeight="1"/>
    <row r="815" s="7" customFormat="1" ht="13.5" customHeight="1"/>
    <row r="816" s="7" customFormat="1" ht="13.5" customHeight="1"/>
    <row r="817" s="7" customFormat="1" ht="13.5" customHeight="1"/>
    <row r="818" s="7" customFormat="1" ht="13.5" customHeight="1"/>
    <row r="819" s="7" customFormat="1" ht="13.5" customHeight="1"/>
    <row r="820" s="7" customFormat="1" ht="13.5" customHeight="1"/>
    <row r="821" s="7" customFormat="1" ht="13.5" customHeight="1"/>
    <row r="822" s="7" customFormat="1" ht="13.5" customHeight="1"/>
    <row r="823" s="7" customFormat="1" ht="13.5" customHeight="1"/>
    <row r="824" s="7" customFormat="1" ht="13.5" customHeight="1"/>
    <row r="825" s="7" customFormat="1" ht="13.5" customHeight="1"/>
    <row r="826" s="7" customFormat="1" ht="13.5" customHeight="1"/>
    <row r="827" s="7" customFormat="1" ht="13.5" customHeight="1"/>
    <row r="828" s="7" customFormat="1" ht="13.5" customHeight="1"/>
    <row r="829" s="7" customFormat="1" ht="13.5" customHeight="1"/>
    <row r="830" s="7" customFormat="1" ht="13.5" customHeight="1"/>
    <row r="831" s="7" customFormat="1" ht="13.5" customHeight="1"/>
    <row r="832" s="7" customFormat="1" ht="13.5" customHeight="1"/>
    <row r="833" s="7" customFormat="1" ht="13.5" customHeight="1"/>
    <row r="834" s="7" customFormat="1" ht="13.5" customHeight="1"/>
    <row r="835" s="7" customFormat="1" ht="13.5" customHeight="1"/>
    <row r="836" s="7" customFormat="1" ht="13.5" customHeight="1"/>
    <row r="837" s="7" customFormat="1" ht="13.5" customHeight="1"/>
    <row r="838" s="7" customFormat="1" ht="13.5" customHeight="1"/>
    <row r="839" s="7" customFormat="1" ht="13.5" customHeight="1"/>
    <row r="840" s="7" customFormat="1" ht="13.5" customHeight="1"/>
    <row r="841" s="7" customFormat="1" ht="13.5" customHeight="1"/>
    <row r="842" s="7" customFormat="1" ht="13.5" customHeight="1"/>
    <row r="843" s="7" customFormat="1" ht="13.5" customHeight="1"/>
    <row r="844" s="7" customFormat="1" ht="13.5" customHeight="1"/>
    <row r="845" s="7" customFormat="1" ht="13.5" customHeight="1"/>
    <row r="846" s="7" customFormat="1" ht="13.5" customHeight="1"/>
    <row r="847" s="7" customFormat="1" ht="13.5" customHeight="1"/>
    <row r="848" s="7" customFormat="1" ht="13.5" customHeight="1"/>
    <row r="849" s="7" customFormat="1" ht="13.5" customHeight="1"/>
    <row r="850" s="7" customFormat="1" ht="13.5" customHeight="1"/>
    <row r="851" s="7" customFormat="1" ht="13.5" customHeight="1"/>
    <row r="852" s="7" customFormat="1" ht="13.5" customHeight="1"/>
    <row r="853" s="7" customFormat="1" ht="13.5" customHeight="1"/>
    <row r="854" s="7" customFormat="1" ht="13.5" customHeight="1"/>
    <row r="855" s="7" customFormat="1" ht="13.5" customHeight="1"/>
    <row r="856" s="7" customFormat="1" ht="13.5" customHeight="1"/>
    <row r="857" s="7" customFormat="1" ht="13.5" customHeight="1"/>
    <row r="858" s="7" customFormat="1" ht="13.5" customHeight="1"/>
    <row r="859" s="7" customFormat="1" ht="13.5" customHeight="1"/>
    <row r="860" s="7" customFormat="1" ht="13.5" customHeight="1"/>
    <row r="861" s="7" customFormat="1" ht="13.5" customHeight="1"/>
    <row r="862" s="7" customFormat="1" ht="13.5" customHeight="1"/>
    <row r="863" s="7" customFormat="1" ht="13.5" customHeight="1"/>
    <row r="864" s="7" customFormat="1" ht="13.5" customHeight="1"/>
    <row r="865" s="7" customFormat="1" ht="13.5" customHeight="1"/>
    <row r="866" s="7" customFormat="1" ht="13.5" customHeight="1"/>
    <row r="867" s="7" customFormat="1" ht="13.5" customHeight="1"/>
    <row r="868" s="7" customFormat="1" ht="13.5" customHeight="1"/>
    <row r="869" s="7" customFormat="1" ht="13.5" customHeight="1"/>
    <row r="870" s="7" customFormat="1" ht="13.5" customHeight="1"/>
    <row r="871" s="7" customFormat="1" ht="13.5" customHeight="1"/>
    <row r="872" s="7" customFormat="1" ht="13.5" customHeight="1"/>
    <row r="873" s="7" customFormat="1" ht="13.5" customHeight="1"/>
    <row r="874" s="7" customFormat="1" ht="13.5" customHeight="1"/>
    <row r="875" s="7" customFormat="1" ht="13.5" customHeight="1"/>
    <row r="876" s="7" customFormat="1" ht="13.5" customHeight="1"/>
    <row r="877" s="7" customFormat="1" ht="13.5" customHeight="1"/>
    <row r="878" s="7" customFormat="1" ht="13.5" customHeight="1"/>
    <row r="879" s="7" customFormat="1" ht="13.5" customHeight="1"/>
    <row r="880" s="7" customFormat="1" ht="13.5" customHeight="1"/>
    <row r="881" s="7" customFormat="1" ht="13.5" customHeight="1"/>
    <row r="882" s="7" customFormat="1" ht="13.5" customHeight="1"/>
    <row r="883" s="7" customFormat="1" ht="13.5" customHeight="1"/>
    <row r="884" s="7" customFormat="1" ht="13.5" customHeight="1"/>
    <row r="885" s="7" customFormat="1" ht="13.5" customHeight="1"/>
    <row r="886" s="7" customFormat="1" ht="13.5" customHeight="1"/>
    <row r="887" s="7" customFormat="1" ht="13.5" customHeight="1"/>
    <row r="888" s="7" customFormat="1" ht="13.5" customHeight="1"/>
    <row r="889" s="7" customFormat="1" ht="13.5" customHeight="1"/>
    <row r="890" s="7" customFormat="1" ht="13.5" customHeight="1"/>
    <row r="891" s="7" customFormat="1" ht="13.5" customHeight="1"/>
    <row r="892" s="7" customFormat="1" ht="13.5" customHeight="1"/>
    <row r="893" s="7" customFormat="1" ht="13.5" customHeight="1"/>
    <row r="894" s="7" customFormat="1" ht="13.5" customHeight="1"/>
    <row r="895" s="7" customFormat="1" ht="13.5" customHeight="1"/>
    <row r="896" s="7" customFormat="1" ht="13.5" customHeight="1"/>
    <row r="897" s="7" customFormat="1" ht="13.5" customHeight="1"/>
    <row r="898" s="7" customFormat="1" ht="13.5" customHeight="1"/>
    <row r="899" s="7" customFormat="1" ht="13.5" customHeight="1"/>
    <row r="900" s="7" customFormat="1" ht="13.5" customHeight="1"/>
    <row r="901" s="7" customFormat="1" ht="13.5" customHeight="1"/>
    <row r="902" s="7" customFormat="1" ht="13.5" customHeight="1"/>
    <row r="903" s="7" customFormat="1" ht="13.5" customHeight="1"/>
    <row r="904" s="7" customFormat="1" ht="13.5" customHeight="1"/>
    <row r="905" s="7" customFormat="1" ht="13.5" customHeight="1"/>
    <row r="906" s="7" customFormat="1" ht="13.5" customHeight="1"/>
    <row r="907" s="7" customFormat="1" ht="13.5" customHeight="1"/>
    <row r="908" s="7" customFormat="1" ht="13.5" customHeight="1"/>
    <row r="909" s="7" customFormat="1" ht="13.5" customHeight="1"/>
    <row r="910" s="7" customFormat="1" ht="13.5" customHeight="1"/>
    <row r="911" s="7" customFormat="1" ht="13.5" customHeight="1"/>
    <row r="912" s="7" customFormat="1" ht="13.5" customHeight="1"/>
    <row r="913" s="7" customFormat="1" ht="13.5" customHeight="1"/>
    <row r="914" s="7" customFormat="1" ht="13.5" customHeight="1"/>
    <row r="915" s="7" customFormat="1" ht="13.5" customHeight="1"/>
    <row r="916" s="7" customFormat="1" ht="13.5" customHeight="1"/>
    <row r="917" s="7" customFormat="1" ht="13.5" customHeight="1"/>
    <row r="918" s="7" customFormat="1" ht="13.5" customHeight="1"/>
    <row r="919" s="7" customFormat="1" ht="13.5" customHeight="1"/>
    <row r="920" s="7" customFormat="1" ht="13.5" customHeight="1"/>
    <row r="921" s="7" customFormat="1" ht="13.5" customHeight="1"/>
    <row r="922" s="7" customFormat="1" ht="13.5" customHeight="1"/>
    <row r="923" s="7" customFormat="1" ht="13.5" customHeight="1"/>
    <row r="924" s="7" customFormat="1" ht="13.5" customHeight="1"/>
    <row r="925" s="7" customFormat="1" ht="13.5" customHeight="1"/>
    <row r="926" s="7" customFormat="1" ht="13.5" customHeight="1"/>
    <row r="927" s="7" customFormat="1" ht="13.5" customHeight="1"/>
    <row r="928" s="7" customFormat="1" ht="13.5" customHeight="1"/>
    <row r="929" s="7" customFormat="1" ht="13.5" customHeight="1"/>
    <row r="930" s="7" customFormat="1" ht="13.5" customHeight="1"/>
    <row r="931" s="7" customFormat="1" ht="13.5" customHeight="1"/>
    <row r="932" s="7" customFormat="1" ht="13.5" customHeight="1"/>
    <row r="933" s="7" customFormat="1" ht="13.5" customHeight="1"/>
    <row r="934" s="7" customFormat="1" ht="13.5" customHeight="1"/>
    <row r="935" s="7" customFormat="1" ht="13.5" customHeight="1"/>
    <row r="936" s="7" customFormat="1" ht="13.5" customHeight="1"/>
    <row r="937" s="7" customFormat="1" ht="13.5" customHeight="1"/>
    <row r="938" s="7" customFormat="1" ht="13.5" customHeight="1"/>
    <row r="939" s="7" customFormat="1" ht="13.5" customHeight="1"/>
    <row r="940" s="7" customFormat="1" ht="13.5" customHeight="1"/>
    <row r="941" s="7" customFormat="1" ht="13.5" customHeight="1"/>
    <row r="942" s="7" customFormat="1" ht="13.5" customHeight="1"/>
    <row r="943" s="7" customFormat="1" ht="13.5" customHeight="1"/>
    <row r="944" s="7" customFormat="1" ht="13.5" customHeight="1"/>
    <row r="945" s="7" customFormat="1" ht="13.5" customHeight="1"/>
    <row r="946" s="7" customFormat="1" ht="13.5" customHeight="1"/>
    <row r="947" s="7" customFormat="1" ht="13.5" customHeight="1"/>
    <row r="948" s="7" customFormat="1" ht="13.5" customHeight="1"/>
    <row r="949" s="7" customFormat="1" ht="13.5" customHeight="1"/>
    <row r="950" s="7" customFormat="1" ht="13.5" customHeight="1"/>
    <row r="951" s="7" customFormat="1" ht="13.5" customHeight="1"/>
    <row r="952" s="7" customFormat="1" ht="13.5" customHeight="1"/>
    <row r="953" s="7" customFormat="1" ht="13.5" customHeight="1"/>
    <row r="954" s="7" customFormat="1" ht="13.5" customHeight="1"/>
    <row r="955" s="7" customFormat="1" ht="13.5" customHeight="1"/>
    <row r="956" s="7" customFormat="1" ht="13.5" customHeight="1"/>
    <row r="957" s="7" customFormat="1" ht="13.5" customHeight="1"/>
    <row r="958" s="7" customFormat="1" ht="13.5" customHeight="1"/>
    <row r="959" s="7" customFormat="1" ht="13.5" customHeight="1"/>
    <row r="960" s="7" customFormat="1" ht="13.5" customHeight="1"/>
    <row r="961" s="7" customFormat="1" ht="13.5" customHeight="1"/>
    <row r="962" s="7" customFormat="1" ht="13.5" customHeight="1"/>
    <row r="963" s="7" customFormat="1" ht="13.5" customHeight="1"/>
    <row r="964" s="7" customFormat="1" ht="13.5" customHeight="1"/>
    <row r="965" s="7" customFormat="1" ht="13.5" customHeight="1"/>
    <row r="966" s="7" customFormat="1" ht="13.5" customHeight="1"/>
    <row r="967" s="7" customFormat="1" ht="13.5" customHeight="1"/>
    <row r="968" s="7" customFormat="1" ht="13.5" customHeight="1"/>
    <row r="969" s="7" customFormat="1" ht="13.5" customHeight="1"/>
    <row r="970" s="7" customFormat="1" ht="13.5" customHeight="1"/>
    <row r="971" s="7" customFormat="1" ht="13.5" customHeight="1"/>
    <row r="972" s="7" customFormat="1" ht="13.5" customHeight="1"/>
    <row r="973" s="7" customFormat="1" ht="13.5" customHeight="1"/>
    <row r="974" s="7" customFormat="1" ht="13.5" customHeight="1"/>
    <row r="975" s="7" customFormat="1" ht="13.5" customHeight="1"/>
    <row r="976" s="7" customFormat="1" ht="13.5" customHeight="1"/>
    <row r="977" s="7" customFormat="1" ht="13.5" customHeight="1"/>
    <row r="978" s="7" customFormat="1" ht="13.5" customHeight="1"/>
    <row r="979" s="7" customFormat="1" ht="13.5" customHeight="1"/>
    <row r="980" s="7" customFormat="1" ht="13.5" customHeight="1"/>
    <row r="981" s="7" customFormat="1" ht="13.5" customHeight="1"/>
    <row r="982" s="7" customFormat="1" ht="13.5" customHeight="1"/>
    <row r="983" s="7" customFormat="1" ht="13.5" customHeight="1"/>
    <row r="984" s="7" customFormat="1" ht="13.5" customHeight="1"/>
    <row r="985" s="7" customFormat="1" ht="13.5" customHeight="1"/>
    <row r="986" s="7" customFormat="1" ht="13.5" customHeight="1"/>
    <row r="987" s="7" customFormat="1" ht="13.5" customHeight="1"/>
    <row r="988" s="7" customFormat="1" ht="13.5" customHeight="1"/>
    <row r="989" s="7" customFormat="1" ht="13.5" customHeight="1"/>
    <row r="990" s="7" customFormat="1" ht="13.5" customHeight="1"/>
    <row r="991" s="7" customFormat="1" ht="13.5" customHeight="1"/>
    <row r="992" s="7" customFormat="1" ht="13.5" customHeight="1"/>
    <row r="993" s="7" customFormat="1" ht="13.5" customHeight="1"/>
    <row r="994" s="7" customFormat="1" ht="13.5" customHeight="1"/>
    <row r="995" s="7" customFormat="1" ht="13.5" customHeight="1"/>
    <row r="996" s="7" customFormat="1" ht="13.5" customHeight="1"/>
    <row r="997" s="7" customFormat="1" ht="13.5" customHeight="1"/>
    <row r="998" s="7" customFormat="1" ht="13.5" customHeight="1"/>
    <row r="999" s="7" customFormat="1" ht="13.5" customHeight="1"/>
  </sheetData>
  <mergeCells count="40">
    <mergeCell ref="AG4:AG5"/>
    <mergeCell ref="AH4:AH5"/>
    <mergeCell ref="W4:W5"/>
    <mergeCell ref="X4:X5"/>
    <mergeCell ref="Y4:Y5"/>
    <mergeCell ref="Z4:Z5"/>
    <mergeCell ref="AA4:AA5"/>
    <mergeCell ref="AB4:AB5"/>
    <mergeCell ref="AC4:AC5"/>
    <mergeCell ref="U4:U5"/>
    <mergeCell ref="V4:V5"/>
    <mergeCell ref="AD4:AD5"/>
    <mergeCell ref="AE4:AE5"/>
    <mergeCell ref="AF4:AF5"/>
    <mergeCell ref="P4:P5"/>
    <mergeCell ref="Q4:Q5"/>
    <mergeCell ref="R4:R5"/>
    <mergeCell ref="S4:S5"/>
    <mergeCell ref="T4:T5"/>
    <mergeCell ref="AC3:AE3"/>
    <mergeCell ref="AF3:AH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N3:P3"/>
    <mergeCell ref="Q3:S3"/>
    <mergeCell ref="T3:V3"/>
    <mergeCell ref="W3:Y3"/>
    <mergeCell ref="Z3:AB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05"/>
  <sheetViews>
    <sheetView showGridLines="0" topLeftCell="A26" workbookViewId="0">
      <selection activeCell="A35" sqref="A35:XFD38"/>
    </sheetView>
  </sheetViews>
  <sheetFormatPr defaultColWidth="12.6640625" defaultRowHeight="15" customHeight="1"/>
  <cols>
    <col min="1" max="1" width="9" style="7" customWidth="1"/>
    <col min="2" max="2" width="44.25" style="7" customWidth="1"/>
    <col min="3" max="7" width="12.4140625" style="7" customWidth="1"/>
    <col min="8" max="8" width="11.75" style="7" customWidth="1"/>
    <col min="9" max="13" width="11.6640625" style="7" customWidth="1"/>
    <col min="14" max="14" width="12.4140625" style="7" customWidth="1"/>
    <col min="15" max="30" width="8.6640625" style="7" customWidth="1"/>
    <col min="31" max="16384" width="12.6640625" style="7"/>
  </cols>
  <sheetData>
    <row r="1" spans="1:14" s="373" customFormat="1" ht="13.5" customHeight="1">
      <c r="A1" s="430" t="s">
        <v>243</v>
      </c>
      <c r="B1" s="431"/>
      <c r="C1" s="225"/>
      <c r="D1" s="225"/>
      <c r="E1" s="225"/>
      <c r="F1" s="225"/>
      <c r="G1" s="225"/>
      <c r="H1" s="432"/>
      <c r="I1" s="433"/>
      <c r="J1" s="433"/>
      <c r="K1" s="433"/>
      <c r="L1" s="433"/>
      <c r="M1" s="226"/>
    </row>
    <row r="2" spans="1:14" s="373" customFormat="1" ht="13.5" customHeight="1">
      <c r="A2" s="434"/>
      <c r="B2" s="435"/>
      <c r="C2" s="392"/>
      <c r="D2" s="392"/>
      <c r="E2" s="392"/>
      <c r="F2" s="392"/>
      <c r="G2" s="392"/>
      <c r="H2" s="392"/>
      <c r="I2" s="411"/>
      <c r="J2" s="411"/>
      <c r="K2" s="411"/>
      <c r="L2" s="411"/>
      <c r="M2" s="279" t="s">
        <v>1</v>
      </c>
    </row>
    <row r="3" spans="1:14" ht="13.5" customHeight="1">
      <c r="A3" s="177"/>
      <c r="B3" s="178"/>
      <c r="C3" s="179" t="s">
        <v>244</v>
      </c>
      <c r="D3" s="179" t="s">
        <v>2</v>
      </c>
      <c r="E3" s="122" t="s">
        <v>3</v>
      </c>
      <c r="F3" s="122" t="s">
        <v>4</v>
      </c>
      <c r="G3" s="122" t="s">
        <v>5</v>
      </c>
      <c r="H3" s="179" t="s">
        <v>6</v>
      </c>
      <c r="I3" s="180" t="s">
        <v>7</v>
      </c>
      <c r="J3" s="180" t="s">
        <v>8</v>
      </c>
      <c r="K3" s="180" t="s">
        <v>9</v>
      </c>
      <c r="L3" s="181" t="s">
        <v>10</v>
      </c>
      <c r="M3" s="179" t="s">
        <v>11</v>
      </c>
      <c r="N3" s="122" t="s">
        <v>477</v>
      </c>
    </row>
    <row r="4" spans="1:14" ht="13.5" customHeight="1">
      <c r="A4" s="28"/>
      <c r="B4" s="182" t="s">
        <v>245</v>
      </c>
      <c r="C4" s="183"/>
      <c r="D4" s="184"/>
      <c r="E4" s="185"/>
      <c r="F4" s="185"/>
      <c r="G4" s="183"/>
      <c r="H4" s="184"/>
      <c r="I4" s="185"/>
      <c r="J4" s="185"/>
      <c r="K4" s="185"/>
      <c r="L4" s="186"/>
      <c r="M4" s="184"/>
      <c r="N4" s="185"/>
    </row>
    <row r="5" spans="1:14" ht="13.5" customHeight="1">
      <c r="A5" s="52"/>
      <c r="B5" s="187" t="s">
        <v>246</v>
      </c>
      <c r="C5" s="184"/>
      <c r="D5" s="184"/>
      <c r="E5" s="185"/>
      <c r="F5" s="185"/>
      <c r="G5" s="184"/>
      <c r="H5" s="184"/>
      <c r="I5" s="185"/>
      <c r="J5" s="185"/>
      <c r="K5" s="185"/>
      <c r="L5" s="186"/>
      <c r="M5" s="184"/>
      <c r="N5" s="185"/>
    </row>
    <row r="6" spans="1:14" ht="13.5" customHeight="1">
      <c r="A6" s="52"/>
      <c r="B6" s="188" t="s">
        <v>247</v>
      </c>
      <c r="C6" s="184">
        <v>362713.27</v>
      </c>
      <c r="D6" s="184">
        <v>410807.03999999998</v>
      </c>
      <c r="E6" s="185">
        <v>419797.77</v>
      </c>
      <c r="F6" s="185">
        <v>482905.41</v>
      </c>
      <c r="G6" s="184">
        <v>527191.25</v>
      </c>
      <c r="H6" s="184">
        <v>536896.12</v>
      </c>
      <c r="I6" s="185">
        <v>495961</v>
      </c>
      <c r="J6" s="185">
        <v>520032.77</v>
      </c>
      <c r="K6" s="185">
        <v>547156.54</v>
      </c>
      <c r="L6" s="186">
        <v>575269.26</v>
      </c>
      <c r="M6" s="184">
        <v>662893</v>
      </c>
      <c r="N6" s="185">
        <v>784051.06667700084</v>
      </c>
    </row>
    <row r="7" spans="1:14" ht="13.5" customHeight="1">
      <c r="A7" s="52"/>
      <c r="B7" s="188" t="s">
        <v>248</v>
      </c>
      <c r="C7" s="184">
        <v>174331.96</v>
      </c>
      <c r="D7" s="184">
        <v>198947.9</v>
      </c>
      <c r="E7" s="189">
        <v>206909.14</v>
      </c>
      <c r="F7" s="189">
        <v>233159.2</v>
      </c>
      <c r="G7" s="184">
        <v>215089.28</v>
      </c>
      <c r="H7" s="184">
        <v>208868.74</v>
      </c>
      <c r="I7" s="189">
        <v>386220</v>
      </c>
      <c r="J7" s="189">
        <v>498245</v>
      </c>
      <c r="K7" s="185">
        <v>531597.1</v>
      </c>
      <c r="L7" s="186">
        <v>503812.66</v>
      </c>
      <c r="M7" s="184">
        <v>533499.12077699974</v>
      </c>
      <c r="N7" s="189">
        <v>601386.70605899952</v>
      </c>
    </row>
    <row r="8" spans="1:14" ht="13.5" customHeight="1">
      <c r="A8" s="52"/>
      <c r="B8" s="190" t="s">
        <v>249</v>
      </c>
      <c r="C8" s="191">
        <v>537045.23</v>
      </c>
      <c r="D8" s="191">
        <v>609754.93999999994</v>
      </c>
      <c r="E8" s="192">
        <v>626706.91</v>
      </c>
      <c r="F8" s="192">
        <v>716064.6</v>
      </c>
      <c r="G8" s="191">
        <v>742280.54</v>
      </c>
      <c r="H8" s="191">
        <v>745764.86</v>
      </c>
      <c r="I8" s="192">
        <v>882181</v>
      </c>
      <c r="J8" s="192">
        <v>1018277.77</v>
      </c>
      <c r="K8" s="192">
        <v>1078753.6399999999</v>
      </c>
      <c r="L8" s="191">
        <v>1079081.93</v>
      </c>
      <c r="M8" s="191">
        <v>1196392.1200000001</v>
      </c>
      <c r="N8" s="192">
        <v>1385437.77</v>
      </c>
    </row>
    <row r="9" spans="1:14" ht="13.5" customHeight="1">
      <c r="A9" s="188" t="s">
        <v>250</v>
      </c>
      <c r="B9" s="193"/>
      <c r="C9" s="184">
        <v>30583.64</v>
      </c>
      <c r="D9" s="184">
        <v>30324.21</v>
      </c>
      <c r="E9" s="185">
        <v>29970.48</v>
      </c>
      <c r="F9" s="185">
        <v>55477.04</v>
      </c>
      <c r="G9" s="184">
        <v>60278.98</v>
      </c>
      <c r="H9" s="184">
        <v>61372.62</v>
      </c>
      <c r="I9" s="185">
        <v>3626.43</v>
      </c>
      <c r="J9" s="185">
        <v>80673.600000000006</v>
      </c>
      <c r="K9" s="185">
        <v>66549.509999999995</v>
      </c>
      <c r="L9" s="186">
        <v>47563.76</v>
      </c>
      <c r="M9" s="184">
        <v>13257.305731299999</v>
      </c>
      <c r="N9" s="185">
        <v>25250</v>
      </c>
    </row>
    <row r="10" spans="1:14" ht="13.5" customHeight="1">
      <c r="A10" s="188" t="s">
        <v>251</v>
      </c>
      <c r="B10" s="194"/>
      <c r="C10" s="184"/>
      <c r="D10" s="184"/>
      <c r="E10" s="195"/>
      <c r="F10" s="185"/>
      <c r="G10" s="184"/>
      <c r="H10" s="184"/>
      <c r="I10" s="195">
        <v>495141.88</v>
      </c>
      <c r="J10" s="185">
        <v>577661.41</v>
      </c>
      <c r="K10" s="185">
        <v>684508.28</v>
      </c>
      <c r="L10" s="186">
        <v>840731.5</v>
      </c>
      <c r="M10" s="184">
        <v>995119</v>
      </c>
      <c r="N10" s="195">
        <v>1097689.6103050001</v>
      </c>
    </row>
    <row r="11" spans="1:14" ht="13.5" customHeight="1">
      <c r="A11" s="28"/>
      <c r="B11" s="196" t="s">
        <v>252</v>
      </c>
      <c r="C11" s="184">
        <v>137635.26999999999</v>
      </c>
      <c r="D11" s="184">
        <v>172857.04</v>
      </c>
      <c r="E11" s="185">
        <v>171323.4</v>
      </c>
      <c r="F11" s="185">
        <v>239469.9</v>
      </c>
      <c r="G11" s="184">
        <v>272351.03000000003</v>
      </c>
      <c r="H11" s="184">
        <v>315362</v>
      </c>
      <c r="I11" s="185">
        <v>388829.56</v>
      </c>
      <c r="J11" s="185">
        <v>456848.61</v>
      </c>
      <c r="K11" s="185">
        <v>530284.93000000005</v>
      </c>
      <c r="L11" s="186">
        <v>622543.65</v>
      </c>
      <c r="M11" s="184">
        <v>784117</v>
      </c>
      <c r="N11" s="185">
        <v>851421.39559099998</v>
      </c>
    </row>
    <row r="12" spans="1:14" ht="13.5" customHeight="1">
      <c r="A12" s="28"/>
      <c r="B12" s="196" t="s">
        <v>253</v>
      </c>
      <c r="C12" s="184">
        <v>29737.73</v>
      </c>
      <c r="D12" s="184">
        <v>42471.5</v>
      </c>
      <c r="E12" s="185">
        <v>62387.48</v>
      </c>
      <c r="F12" s="185">
        <v>84420.24</v>
      </c>
      <c r="G12" s="184">
        <v>103372.13</v>
      </c>
      <c r="H12" s="184">
        <v>121840</v>
      </c>
      <c r="I12" s="185">
        <v>106312.32000000001</v>
      </c>
      <c r="J12" s="185">
        <v>120812.8</v>
      </c>
      <c r="K12" s="185">
        <v>154223.35</v>
      </c>
      <c r="L12" s="186">
        <v>218187.85</v>
      </c>
      <c r="M12" s="184">
        <v>211002</v>
      </c>
      <c r="N12" s="185">
        <v>246268.214714</v>
      </c>
    </row>
    <row r="13" spans="1:14" ht="13.5" customHeight="1">
      <c r="A13" s="66" t="s">
        <v>254</v>
      </c>
      <c r="B13" s="193"/>
      <c r="C13" s="197"/>
      <c r="D13" s="197"/>
      <c r="E13" s="185"/>
      <c r="F13" s="185"/>
      <c r="G13" s="197"/>
      <c r="H13" s="197"/>
      <c r="I13" s="185"/>
      <c r="J13" s="185"/>
      <c r="K13" s="185"/>
      <c r="L13" s="186"/>
      <c r="M13" s="197"/>
      <c r="N13" s="185"/>
    </row>
    <row r="14" spans="1:14" ht="13.5" customHeight="1">
      <c r="A14" s="52"/>
      <c r="B14" s="198" t="s">
        <v>255</v>
      </c>
      <c r="C14" s="184">
        <v>2807.7</v>
      </c>
      <c r="D14" s="184">
        <v>2744.44</v>
      </c>
      <c r="E14" s="185">
        <v>2619.73</v>
      </c>
      <c r="F14" s="185">
        <v>3517.71</v>
      </c>
      <c r="G14" s="184">
        <v>3858.25</v>
      </c>
      <c r="H14" s="184">
        <v>4175.2700000000004</v>
      </c>
      <c r="I14" s="185">
        <v>6018.42</v>
      </c>
      <c r="J14" s="185">
        <v>4772.91</v>
      </c>
      <c r="K14" s="185">
        <v>4436.91</v>
      </c>
      <c r="L14" s="186">
        <v>8223.5499999999993</v>
      </c>
      <c r="M14" s="184">
        <v>6445.5013632500004</v>
      </c>
      <c r="N14" s="185">
        <v>9733.9</v>
      </c>
    </row>
    <row r="15" spans="1:14" ht="13.5" customHeight="1">
      <c r="A15" s="52"/>
      <c r="B15" s="198" t="s">
        <v>256</v>
      </c>
      <c r="C15" s="184">
        <v>163618.06</v>
      </c>
      <c r="D15" s="184">
        <v>174424.02</v>
      </c>
      <c r="E15" s="185">
        <v>192267.13</v>
      </c>
      <c r="F15" s="185">
        <v>235485.2</v>
      </c>
      <c r="G15" s="184">
        <v>282388.28000000003</v>
      </c>
      <c r="H15" s="184">
        <v>358151.96</v>
      </c>
      <c r="I15" s="185">
        <v>1078764.06</v>
      </c>
      <c r="J15" s="185">
        <v>1125358.6200000001</v>
      </c>
      <c r="K15" s="185">
        <v>1168039.6499999999</v>
      </c>
      <c r="L15" s="185">
        <v>1359133.04</v>
      </c>
      <c r="M15" s="184">
        <v>1591016.8935111398</v>
      </c>
      <c r="N15" s="185">
        <v>1364967.462608</v>
      </c>
    </row>
    <row r="16" spans="1:14" ht="13.5" customHeight="1">
      <c r="A16" s="52"/>
      <c r="B16" s="198" t="s">
        <v>257</v>
      </c>
      <c r="C16" s="184"/>
      <c r="D16" s="184"/>
      <c r="E16" s="185"/>
      <c r="F16" s="185"/>
      <c r="G16" s="184">
        <v>372481.38</v>
      </c>
      <c r="H16" s="184">
        <v>325278.06</v>
      </c>
      <c r="I16" s="185">
        <v>675828.12</v>
      </c>
      <c r="J16" s="185">
        <v>668983.36</v>
      </c>
      <c r="K16" s="185">
        <v>707870.06</v>
      </c>
      <c r="L16" s="185">
        <v>969363.69</v>
      </c>
      <c r="M16" s="184">
        <v>475464.21182254999</v>
      </c>
      <c r="N16" s="185">
        <v>812010.76763300004</v>
      </c>
    </row>
    <row r="17" spans="1:14" ht="13.5" customHeight="1">
      <c r="A17" s="52"/>
      <c r="B17" s="198" t="s">
        <v>258</v>
      </c>
      <c r="C17" s="184">
        <v>229263.65</v>
      </c>
      <c r="D17" s="184">
        <v>264038.64</v>
      </c>
      <c r="E17" s="185">
        <v>302198.52</v>
      </c>
      <c r="F17" s="185">
        <v>345681.02</v>
      </c>
      <c r="G17" s="184"/>
      <c r="H17" s="184"/>
      <c r="I17" s="185">
        <v>398992.75</v>
      </c>
      <c r="J17" s="185">
        <v>340400.31</v>
      </c>
      <c r="K17" s="185">
        <v>415773.86</v>
      </c>
      <c r="L17" s="199">
        <v>380388.14</v>
      </c>
      <c r="M17" s="184">
        <v>444570.49109869002</v>
      </c>
      <c r="N17" s="185">
        <v>484802.89034400001</v>
      </c>
    </row>
    <row r="18" spans="1:14" ht="13.5" customHeight="1">
      <c r="A18" s="52"/>
      <c r="B18" s="198" t="s">
        <v>259</v>
      </c>
      <c r="C18" s="184">
        <v>10108.08</v>
      </c>
      <c r="D18" s="184">
        <v>10398.209999999999</v>
      </c>
      <c r="E18" s="185">
        <v>3517.27</v>
      </c>
      <c r="F18" s="185">
        <v>11625.02</v>
      </c>
      <c r="G18" s="184">
        <v>15479.98</v>
      </c>
      <c r="H18" s="184">
        <v>26758.62</v>
      </c>
      <c r="I18" s="185">
        <v>402935.94</v>
      </c>
      <c r="J18" s="185">
        <v>456375.26</v>
      </c>
      <c r="K18" s="185">
        <v>460169.59</v>
      </c>
      <c r="L18" s="185">
        <v>389769.35</v>
      </c>
      <c r="M18" s="184">
        <v>361843.07472399983</v>
      </c>
      <c r="N18" s="185">
        <v>552956.69497499999</v>
      </c>
    </row>
    <row r="19" spans="1:14" ht="13.5" customHeight="1">
      <c r="A19" s="52"/>
      <c r="B19" s="200" t="s">
        <v>260</v>
      </c>
      <c r="C19" s="191">
        <v>405797.48</v>
      </c>
      <c r="D19" s="191">
        <v>451605.31</v>
      </c>
      <c r="E19" s="192">
        <v>500602.65</v>
      </c>
      <c r="F19" s="192">
        <v>596308.96</v>
      </c>
      <c r="G19" s="191">
        <v>674207.89</v>
      </c>
      <c r="H19" s="191">
        <v>714363.91</v>
      </c>
      <c r="I19" s="192">
        <v>1084782.48</v>
      </c>
      <c r="J19" s="192">
        <v>1130131.53</v>
      </c>
      <c r="K19" s="192">
        <v>1172476.56</v>
      </c>
      <c r="L19" s="192">
        <v>1367356.59</v>
      </c>
      <c r="M19" s="191">
        <v>1597462.3948743897</v>
      </c>
      <c r="N19" s="192">
        <v>1374701.3626079999</v>
      </c>
    </row>
    <row r="20" spans="1:14" ht="13.5" customHeight="1">
      <c r="A20" s="188" t="s">
        <v>261</v>
      </c>
      <c r="B20" s="188"/>
      <c r="C20" s="183">
        <v>33704.74</v>
      </c>
      <c r="D20" s="183">
        <v>58120.99</v>
      </c>
      <c r="E20" s="185">
        <v>66755.73</v>
      </c>
      <c r="F20" s="185">
        <v>71983.7</v>
      </c>
      <c r="G20" s="183">
        <v>75889.990000000005</v>
      </c>
      <c r="H20" s="183">
        <v>94783.63</v>
      </c>
      <c r="I20" s="185">
        <v>143423.98000000001</v>
      </c>
      <c r="J20" s="185">
        <v>157944.88</v>
      </c>
      <c r="K20" s="185">
        <v>163530.68</v>
      </c>
      <c r="L20" s="186">
        <v>175843.61</v>
      </c>
      <c r="M20" s="183">
        <v>173707.17861731001</v>
      </c>
      <c r="N20" s="185">
        <v>222434.63955399999</v>
      </c>
    </row>
    <row r="21" spans="1:14" ht="13.5" customHeight="1">
      <c r="A21" s="66" t="s">
        <v>262</v>
      </c>
      <c r="B21" s="188"/>
      <c r="C21" s="185">
        <v>3752.36</v>
      </c>
      <c r="D21" s="185">
        <v>7119.59</v>
      </c>
      <c r="E21" s="185">
        <v>4647.47</v>
      </c>
      <c r="F21" s="185">
        <v>2978.81</v>
      </c>
      <c r="G21" s="185">
        <v>1001.8</v>
      </c>
      <c r="H21" s="185">
        <v>2436.4699999999998</v>
      </c>
      <c r="I21" s="185">
        <v>0</v>
      </c>
      <c r="J21" s="185">
        <v>0</v>
      </c>
      <c r="K21" s="185">
        <v>0</v>
      </c>
      <c r="L21" s="186">
        <v>1200</v>
      </c>
      <c r="M21" s="185">
        <v>0</v>
      </c>
      <c r="N21" s="185">
        <v>2000</v>
      </c>
    </row>
    <row r="22" spans="1:14" ht="13.5" customHeight="1">
      <c r="A22" s="201"/>
      <c r="B22" s="202" t="s">
        <v>263</v>
      </c>
      <c r="C22" s="203">
        <v>1178256.45</v>
      </c>
      <c r="D22" s="203">
        <v>1372253.58</v>
      </c>
      <c r="E22" s="203">
        <v>1462394.12</v>
      </c>
      <c r="F22" s="203">
        <v>1766703.26</v>
      </c>
      <c r="G22" s="203"/>
      <c r="H22" s="203"/>
      <c r="I22" s="203"/>
      <c r="J22" s="203"/>
      <c r="K22" s="203"/>
      <c r="L22" s="204"/>
      <c r="M22" s="203"/>
      <c r="N22" s="203"/>
    </row>
    <row r="23" spans="1:14" ht="13.5" customHeight="1">
      <c r="A23" s="201"/>
      <c r="B23" s="198" t="s">
        <v>264</v>
      </c>
      <c r="C23" s="203">
        <v>185407.8</v>
      </c>
      <c r="D23" s="203">
        <v>219705.73</v>
      </c>
      <c r="E23" s="203">
        <v>353793.87</v>
      </c>
      <c r="F23" s="203">
        <v>251952.65</v>
      </c>
      <c r="G23" s="203"/>
      <c r="H23" s="203"/>
      <c r="I23" s="203"/>
      <c r="J23" s="203"/>
      <c r="K23" s="203"/>
      <c r="L23" s="204"/>
      <c r="M23" s="203"/>
      <c r="N23" s="203"/>
    </row>
    <row r="24" spans="1:14" ht="13.5" customHeight="1">
      <c r="A24" s="201">
        <v>1</v>
      </c>
      <c r="B24" s="202" t="s">
        <v>478</v>
      </c>
      <c r="C24" s="205">
        <v>1363664.25</v>
      </c>
      <c r="D24" s="205">
        <v>1591959.31</v>
      </c>
      <c r="E24" s="205">
        <v>1816187.99</v>
      </c>
      <c r="F24" s="205">
        <v>2018655.91</v>
      </c>
      <c r="G24" s="205">
        <v>1929382.36</v>
      </c>
      <c r="H24" s="205">
        <v>2055923.49</v>
      </c>
      <c r="I24" s="205">
        <v>2609155.77</v>
      </c>
      <c r="J24" s="205">
        <v>2964689.2</v>
      </c>
      <c r="K24" s="205">
        <v>3165818.67</v>
      </c>
      <c r="L24" s="205">
        <v>3511777.39</v>
      </c>
      <c r="M24" s="205">
        <v>3975938</v>
      </c>
      <c r="N24" s="205">
        <v>4107513.3852030006</v>
      </c>
    </row>
    <row r="25" spans="1:14" ht="13.5" customHeight="1">
      <c r="A25" s="201">
        <v>2</v>
      </c>
      <c r="B25" s="69" t="s">
        <v>265</v>
      </c>
      <c r="C25" s="197">
        <v>312101.46999999997</v>
      </c>
      <c r="D25" s="206">
        <v>174078.54</v>
      </c>
      <c r="E25" s="205">
        <v>223827.45</v>
      </c>
      <c r="F25" s="207">
        <v>191994.61</v>
      </c>
      <c r="G25" s="197">
        <v>185064.82</v>
      </c>
      <c r="H25" s="205">
        <v>105088.63</v>
      </c>
      <c r="I25" s="205">
        <v>122507.97</v>
      </c>
      <c r="J25" s="207">
        <v>62828.79</v>
      </c>
      <c r="K25" s="207">
        <v>52368.27</v>
      </c>
      <c r="L25" s="208">
        <v>93431.7</v>
      </c>
      <c r="M25" s="205">
        <v>102054.42364514999</v>
      </c>
      <c r="N25" s="205">
        <v>162066.368904</v>
      </c>
    </row>
    <row r="26" spans="1:14" ht="13.5" customHeight="1">
      <c r="A26" s="209"/>
      <c r="B26" s="193" t="s">
        <v>266</v>
      </c>
      <c r="C26" s="184">
        <v>295659.7</v>
      </c>
      <c r="D26" s="199">
        <v>151974.19</v>
      </c>
      <c r="E26" s="195">
        <v>183762.76</v>
      </c>
      <c r="F26" s="185">
        <v>153621.59</v>
      </c>
      <c r="G26" s="184">
        <v>195387.73</v>
      </c>
      <c r="H26" s="199">
        <v>131644.22</v>
      </c>
      <c r="I26" s="195">
        <v>103455.19</v>
      </c>
      <c r="J26" s="185">
        <v>46676.959999999999</v>
      </c>
      <c r="K26" s="185">
        <v>34714.07</v>
      </c>
      <c r="L26" s="186">
        <v>555</v>
      </c>
      <c r="M26" s="199">
        <v>88031.35311615</v>
      </c>
      <c r="N26" s="195">
        <v>135735.80598199999</v>
      </c>
    </row>
    <row r="27" spans="1:14" ht="13.5" customHeight="1">
      <c r="A27" s="209"/>
      <c r="B27" s="193" t="s">
        <v>267</v>
      </c>
      <c r="C27" s="184">
        <v>32780.25</v>
      </c>
      <c r="D27" s="199">
        <v>31533.32</v>
      </c>
      <c r="E27" s="195">
        <v>36518.5</v>
      </c>
      <c r="F27" s="185">
        <v>26368.68</v>
      </c>
      <c r="G27" s="184">
        <v>24320.78</v>
      </c>
      <c r="H27" s="199">
        <v>13842.15</v>
      </c>
      <c r="I27" s="195">
        <v>10718</v>
      </c>
      <c r="J27" s="185">
        <v>14715.47</v>
      </c>
      <c r="K27" s="185">
        <v>13096.71</v>
      </c>
      <c r="L27" s="186">
        <v>26659.4</v>
      </c>
      <c r="M27" s="199">
        <v>10674.274503249999</v>
      </c>
      <c r="N27" s="195">
        <v>18660.919051000001</v>
      </c>
    </row>
    <row r="28" spans="1:14" ht="13.5" customHeight="1">
      <c r="A28" s="209"/>
      <c r="B28" s="193" t="s">
        <v>268</v>
      </c>
      <c r="C28" s="184">
        <v>5714.44</v>
      </c>
      <c r="D28" s="199">
        <v>1735.19</v>
      </c>
      <c r="E28" s="195">
        <v>6294.56</v>
      </c>
      <c r="F28" s="185">
        <v>10879.5</v>
      </c>
      <c r="G28" s="184">
        <v>8352.2999999999993</v>
      </c>
      <c r="H28" s="199">
        <v>557.47</v>
      </c>
      <c r="I28" s="195">
        <v>5883.73</v>
      </c>
      <c r="J28" s="185">
        <v>340.11</v>
      </c>
      <c r="K28" s="185">
        <v>703.78</v>
      </c>
      <c r="L28" s="186">
        <v>1196.92</v>
      </c>
      <c r="M28" s="199">
        <v>2053.7678489</v>
      </c>
      <c r="N28" s="195">
        <v>993.93041000000005</v>
      </c>
    </row>
    <row r="29" spans="1:14" ht="13.5" customHeight="1">
      <c r="A29" s="209"/>
      <c r="B29" s="193" t="s">
        <v>269</v>
      </c>
      <c r="C29" s="184">
        <v>1638.4</v>
      </c>
      <c r="D29" s="199">
        <v>8005.05</v>
      </c>
      <c r="E29" s="195">
        <v>5480.32</v>
      </c>
      <c r="F29" s="185">
        <v>3903.08</v>
      </c>
      <c r="G29" s="184">
        <v>5232.2</v>
      </c>
      <c r="H29" s="199">
        <v>5923.38</v>
      </c>
      <c r="I29" s="195">
        <v>5656.39</v>
      </c>
      <c r="J29" s="185">
        <v>5326.19</v>
      </c>
      <c r="K29" s="185">
        <v>4859.6000000000004</v>
      </c>
      <c r="L29" s="186">
        <v>11427.9</v>
      </c>
      <c r="M29" s="199">
        <v>7134.9804014499996</v>
      </c>
      <c r="N29" s="195">
        <v>9866.0287210000006</v>
      </c>
    </row>
    <row r="30" spans="1:14" ht="13.5" customHeight="1">
      <c r="A30" s="209"/>
      <c r="B30" s="193" t="s">
        <v>270</v>
      </c>
      <c r="C30" s="199">
        <v>-23691.3</v>
      </c>
      <c r="D30" s="199">
        <v>-19169.21</v>
      </c>
      <c r="E30" s="195">
        <v>-8228.69</v>
      </c>
      <c r="F30" s="185">
        <v>-2778.24</v>
      </c>
      <c r="G30" s="199">
        <v>-48228.19</v>
      </c>
      <c r="H30" s="199">
        <v>-46878.59</v>
      </c>
      <c r="I30" s="195">
        <v>-3205.34</v>
      </c>
      <c r="J30" s="185">
        <v>-4229.9399999999996</v>
      </c>
      <c r="K30" s="185">
        <v>-1005.89</v>
      </c>
      <c r="L30" s="186">
        <v>-5544.88</v>
      </c>
      <c r="M30" s="199">
        <v>-5839.9522246000006</v>
      </c>
      <c r="N30" s="195">
        <v>-3190.3152599999999</v>
      </c>
    </row>
    <row r="31" spans="1:14" ht="13.5" customHeight="1">
      <c r="A31" s="210"/>
      <c r="B31" s="211" t="s">
        <v>271</v>
      </c>
      <c r="C31" s="212">
        <v>1675765.72</v>
      </c>
      <c r="D31" s="212">
        <v>1766037.85</v>
      </c>
      <c r="E31" s="213">
        <v>2040015.44</v>
      </c>
      <c r="F31" s="213">
        <v>2210650.52</v>
      </c>
      <c r="G31" s="191">
        <v>2114447.1800000002</v>
      </c>
      <c r="H31" s="191">
        <v>2161012.12</v>
      </c>
      <c r="I31" s="214">
        <v>2731663.74</v>
      </c>
      <c r="J31" s="214">
        <v>3027517.99</v>
      </c>
      <c r="K31" s="214">
        <v>3218186.94</v>
      </c>
      <c r="L31" s="215">
        <v>3605209.09</v>
      </c>
      <c r="M31" s="191">
        <v>4077992.4236451499</v>
      </c>
      <c r="N31" s="214">
        <v>4269579.7541070003</v>
      </c>
    </row>
    <row r="32" spans="1:14" ht="13.5" customHeight="1">
      <c r="A32" s="216">
        <v>3</v>
      </c>
      <c r="B32" s="202" t="s">
        <v>272</v>
      </c>
      <c r="C32" s="199">
        <v>18301.32</v>
      </c>
      <c r="D32" s="195">
        <v>39248</v>
      </c>
      <c r="E32" s="185">
        <v>17808.259999999998</v>
      </c>
      <c r="F32" s="184">
        <v>18301.34</v>
      </c>
      <c r="G32" s="199"/>
      <c r="H32" s="195"/>
      <c r="I32" s="185"/>
      <c r="J32" s="185"/>
      <c r="K32" s="186"/>
      <c r="L32" s="185"/>
      <c r="M32" s="195"/>
      <c r="N32" s="185"/>
    </row>
    <row r="33" spans="1:16" ht="13.5" customHeight="1">
      <c r="A33" s="216">
        <v>4</v>
      </c>
      <c r="B33" s="69" t="s">
        <v>273</v>
      </c>
      <c r="C33" s="199">
        <v>232950.71</v>
      </c>
      <c r="D33" s="195">
        <v>222896.68</v>
      </c>
      <c r="E33" s="185">
        <v>216943.22</v>
      </c>
      <c r="F33" s="184">
        <v>344334.9</v>
      </c>
      <c r="G33" s="199"/>
      <c r="H33" s="195"/>
      <c r="I33" s="185"/>
      <c r="J33" s="185"/>
      <c r="K33" s="186"/>
      <c r="L33" s="185"/>
      <c r="M33" s="195"/>
      <c r="N33" s="185"/>
    </row>
    <row r="34" spans="1:16" ht="13.5" customHeight="1">
      <c r="A34" s="217"/>
      <c r="B34" s="218" t="s">
        <v>274</v>
      </c>
      <c r="C34" s="212">
        <v>1927017.76</v>
      </c>
      <c r="D34" s="212">
        <v>2028182.54</v>
      </c>
      <c r="E34" s="213">
        <v>2274766.9300000002</v>
      </c>
      <c r="F34" s="213">
        <v>2573286.7599999998</v>
      </c>
      <c r="G34" s="191"/>
      <c r="H34" s="191"/>
      <c r="I34" s="214"/>
      <c r="J34" s="214"/>
      <c r="K34" s="214"/>
      <c r="L34" s="214"/>
      <c r="M34" s="191"/>
      <c r="N34" s="214"/>
    </row>
    <row r="35" spans="1:16" s="388" customFormat="1" ht="13.5" customHeight="1">
      <c r="A35" s="436" t="s">
        <v>92</v>
      </c>
      <c r="B35" s="437"/>
      <c r="C35" s="393"/>
      <c r="D35" s="393"/>
      <c r="E35" s="393"/>
      <c r="F35" s="393"/>
      <c r="G35" s="393"/>
      <c r="H35" s="329"/>
      <c r="I35" s="413"/>
      <c r="J35" s="413"/>
      <c r="K35" s="413"/>
      <c r="M35" s="413"/>
    </row>
    <row r="36" spans="1:16" s="379" customFormat="1" ht="13.5" customHeight="1">
      <c r="A36" s="381" t="s">
        <v>275</v>
      </c>
      <c r="B36" s="438"/>
      <c r="C36" s="6"/>
      <c r="D36" s="6"/>
      <c r="E36" s="6"/>
      <c r="F36" s="6"/>
      <c r="G36" s="6"/>
      <c r="H36" s="393"/>
      <c r="I36" s="377"/>
      <c r="J36" s="377"/>
      <c r="K36" s="377"/>
      <c r="M36" s="377"/>
    </row>
    <row r="37" spans="1:16" s="379" customFormat="1" ht="13.5" customHeight="1">
      <c r="A37" s="381" t="s">
        <v>499</v>
      </c>
      <c r="B37" s="439"/>
      <c r="C37" s="405"/>
      <c r="D37" s="405"/>
      <c r="E37" s="405"/>
      <c r="F37" s="405"/>
      <c r="G37" s="405"/>
      <c r="H37" s="405"/>
      <c r="I37" s="377"/>
      <c r="J37" s="377"/>
      <c r="K37" s="377"/>
      <c r="M37" s="377"/>
    </row>
    <row r="38" spans="1:16" s="379" customFormat="1" ht="13.5" customHeight="1">
      <c r="A38" s="381" t="s">
        <v>500</v>
      </c>
      <c r="B38" s="6"/>
      <c r="C38" s="6"/>
      <c r="D38" s="6"/>
      <c r="E38" s="6"/>
      <c r="F38" s="6"/>
      <c r="G38" s="6"/>
      <c r="H38" s="6"/>
      <c r="I38" s="6"/>
      <c r="J38" s="6"/>
      <c r="K38" s="6"/>
      <c r="M38" s="6"/>
    </row>
    <row r="39" spans="1:16" ht="13.5" customHeight="1">
      <c r="C39" s="28"/>
      <c r="D39" s="28"/>
      <c r="E39" s="28"/>
      <c r="F39" s="28"/>
      <c r="G39" s="28"/>
      <c r="H39" s="28"/>
    </row>
    <row r="40" spans="1:16" ht="13.5" customHeight="1">
      <c r="C40" s="221"/>
      <c r="D40" s="221"/>
      <c r="E40" s="222"/>
      <c r="F40" s="223"/>
      <c r="G40" s="224"/>
      <c r="H40" s="223"/>
      <c r="I40" s="224"/>
      <c r="J40" s="223"/>
      <c r="K40" s="224"/>
      <c r="L40" s="223"/>
      <c r="M40" s="224"/>
      <c r="N40" s="223"/>
      <c r="O40" s="224"/>
      <c r="P40" s="223"/>
    </row>
    <row r="41" spans="1:16" ht="13.5" customHeight="1">
      <c r="C41" s="222"/>
    </row>
    <row r="42" spans="1:16" ht="13.5" customHeight="1">
      <c r="C42" s="223"/>
    </row>
    <row r="43" spans="1:16" ht="13.5" customHeight="1">
      <c r="C43" s="224"/>
    </row>
    <row r="44" spans="1:16" ht="13.5" customHeight="1">
      <c r="C44" s="223"/>
    </row>
    <row r="45" spans="1:16" ht="13.5" customHeight="1">
      <c r="C45" s="224"/>
    </row>
    <row r="46" spans="1:16" ht="13.5" customHeight="1">
      <c r="C46" s="223"/>
    </row>
    <row r="47" spans="1:16" ht="13.5" customHeight="1">
      <c r="C47" s="224"/>
      <c r="D47" s="67"/>
      <c r="E47" s="67"/>
      <c r="F47" s="67"/>
      <c r="G47" s="67"/>
    </row>
    <row r="48" spans="1:16" ht="13.5" customHeight="1">
      <c r="C48" s="223"/>
    </row>
    <row r="49" spans="3:3" ht="13.5" customHeight="1">
      <c r="C49" s="224"/>
    </row>
    <row r="50" spans="3:3" ht="13.5" customHeight="1">
      <c r="C50" s="223"/>
    </row>
    <row r="51" spans="3:3" ht="13.5" customHeight="1">
      <c r="C51" s="224"/>
    </row>
    <row r="52" spans="3:3" ht="13.5" customHeight="1">
      <c r="C52" s="223"/>
    </row>
    <row r="53" spans="3:3" ht="13.5" customHeight="1"/>
    <row r="54" spans="3:3" ht="13.5" customHeight="1"/>
    <row r="55" spans="3:3" ht="13.5" customHeight="1"/>
    <row r="56" spans="3:3" ht="13.5" customHeight="1"/>
    <row r="57" spans="3:3" ht="13.5" customHeight="1"/>
    <row r="58" spans="3:3" ht="13.5" customHeight="1"/>
    <row r="59" spans="3:3" ht="13.5" customHeight="1"/>
    <row r="60" spans="3:3" ht="13.5" customHeight="1"/>
    <row r="61" spans="3:3" ht="13.5" customHeight="1"/>
    <row r="62" spans="3:3" ht="13.5" customHeight="1"/>
    <row r="63" spans="3:3" ht="13.5" customHeight="1"/>
    <row r="64" spans="3:3" ht="13.5" customHeight="1"/>
    <row r="65" s="7" customFormat="1" ht="13.5" customHeight="1"/>
    <row r="66" s="7" customFormat="1" ht="13.5" customHeight="1"/>
    <row r="67" s="7" customFormat="1" ht="13.5" customHeight="1"/>
    <row r="68" s="7" customFormat="1" ht="13.5" customHeight="1"/>
    <row r="69" s="7" customFormat="1" ht="13.5" customHeight="1"/>
    <row r="70" s="7" customFormat="1" ht="13.5" customHeight="1"/>
    <row r="71" s="7" customFormat="1" ht="13.5" customHeight="1"/>
    <row r="72" s="7" customFormat="1" ht="13.5" customHeight="1"/>
    <row r="73" s="7" customFormat="1" ht="13.5" customHeight="1"/>
    <row r="74" s="7" customFormat="1" ht="13.5" customHeight="1"/>
    <row r="75" s="7" customFormat="1" ht="13.5" customHeight="1"/>
    <row r="76" s="7" customFormat="1" ht="13.5" customHeight="1"/>
    <row r="77" s="7" customFormat="1" ht="13.5" customHeight="1"/>
    <row r="78" s="7" customFormat="1" ht="13.5" customHeight="1"/>
    <row r="79" s="7" customFormat="1" ht="13.5" customHeight="1"/>
    <row r="80" s="7" customFormat="1" ht="13.5" customHeight="1"/>
    <row r="81" s="7" customFormat="1" ht="13.5" customHeight="1"/>
    <row r="82" s="7" customFormat="1" ht="13.5" customHeight="1"/>
    <row r="83" s="7" customFormat="1" ht="13.5" customHeight="1"/>
    <row r="84" s="7" customFormat="1" ht="13.5" customHeight="1"/>
    <row r="85" s="7" customFormat="1" ht="13.5" customHeight="1"/>
    <row r="86" s="7" customFormat="1" ht="13.5" customHeight="1"/>
    <row r="87" s="7" customFormat="1" ht="13.5" customHeight="1"/>
    <row r="88" s="7" customFormat="1" ht="13.5" customHeight="1"/>
    <row r="89" s="7" customFormat="1" ht="13.5" customHeight="1"/>
    <row r="90" s="7" customFormat="1" ht="13.5" customHeight="1"/>
    <row r="91" s="7" customFormat="1" ht="13.5" customHeight="1"/>
    <row r="92" s="7" customFormat="1" ht="13.5" customHeight="1"/>
    <row r="93" s="7" customFormat="1" ht="13.5" customHeight="1"/>
    <row r="94" s="7" customFormat="1" ht="13.5" customHeight="1"/>
    <row r="95" s="7" customFormat="1" ht="13.5" customHeight="1"/>
    <row r="96" s="7" customFormat="1" ht="13.5" customHeight="1"/>
    <row r="97" s="7" customFormat="1" ht="13.5" customHeight="1"/>
    <row r="98" s="7" customFormat="1" ht="13.5" customHeight="1"/>
    <row r="99" s="7" customFormat="1" ht="13.5" customHeight="1"/>
    <row r="100" s="7" customFormat="1" ht="13.5" customHeight="1"/>
    <row r="101" s="7" customFormat="1" ht="13.5" customHeight="1"/>
    <row r="102" s="7" customFormat="1" ht="13.5" customHeight="1"/>
    <row r="103" s="7" customFormat="1" ht="13.5" customHeight="1"/>
    <row r="104" s="7" customFormat="1" ht="13.5" customHeight="1"/>
    <row r="105" s="7" customFormat="1" ht="13.5" customHeight="1"/>
    <row r="106" s="7" customFormat="1" ht="13.5" customHeight="1"/>
    <row r="107" s="7" customFormat="1" ht="13.5" customHeight="1"/>
    <row r="108" s="7" customFormat="1" ht="13.5" customHeight="1"/>
    <row r="109" s="7" customFormat="1" ht="13.5" customHeight="1"/>
    <row r="110" s="7" customFormat="1" ht="13.5" customHeight="1"/>
    <row r="111" s="7" customFormat="1" ht="13.5" customHeight="1"/>
    <row r="112" s="7" customFormat="1" ht="13.5" customHeight="1"/>
    <row r="113" s="7" customFormat="1" ht="13.5" customHeight="1"/>
    <row r="114" s="7" customFormat="1" ht="13.5" customHeight="1"/>
    <row r="115" s="7" customFormat="1" ht="13.5" customHeight="1"/>
    <row r="116" s="7" customFormat="1" ht="13.5" customHeight="1"/>
    <row r="117" s="7" customFormat="1" ht="13.5" customHeight="1"/>
    <row r="118" s="7" customFormat="1" ht="13.5" customHeight="1"/>
    <row r="119" s="7" customFormat="1" ht="13.5" customHeight="1"/>
    <row r="120" s="7" customFormat="1" ht="13.5" customHeight="1"/>
    <row r="121" s="7" customFormat="1" ht="13.5" customHeight="1"/>
    <row r="122" s="7" customFormat="1" ht="13.5" customHeight="1"/>
    <row r="123" s="7" customFormat="1" ht="13.5" customHeight="1"/>
    <row r="124" s="7" customFormat="1" ht="13.5" customHeight="1"/>
    <row r="125" s="7" customFormat="1" ht="13.5" customHeight="1"/>
    <row r="126" s="7" customFormat="1" ht="13.5" customHeight="1"/>
    <row r="127" s="7" customFormat="1" ht="13.5" customHeight="1"/>
    <row r="128" s="7" customFormat="1" ht="13.5" customHeight="1"/>
    <row r="129" s="7" customFormat="1" ht="13.5" customHeight="1"/>
    <row r="130" s="7" customFormat="1" ht="13.5" customHeight="1"/>
    <row r="131" s="7" customFormat="1" ht="13.5" customHeight="1"/>
    <row r="132" s="7" customFormat="1" ht="13.5" customHeight="1"/>
    <row r="133" s="7" customFormat="1" ht="13.5" customHeight="1"/>
    <row r="134" s="7" customFormat="1" ht="13.5" customHeight="1"/>
    <row r="135" s="7" customFormat="1" ht="13.5" customHeight="1"/>
    <row r="136" s="7" customFormat="1" ht="13.5" customHeight="1"/>
    <row r="137" s="7" customFormat="1" ht="13.5" customHeight="1"/>
    <row r="138" s="7" customFormat="1" ht="13.5" customHeight="1"/>
    <row r="139" s="7" customFormat="1" ht="13.5" customHeight="1"/>
    <row r="140" s="7" customFormat="1" ht="13.5" customHeight="1"/>
    <row r="141" s="7" customFormat="1" ht="13.5" customHeight="1"/>
    <row r="142" s="7" customFormat="1" ht="13.5" customHeight="1"/>
    <row r="143" s="7" customFormat="1" ht="13.5" customHeight="1"/>
    <row r="144" s="7" customFormat="1" ht="13.5" customHeight="1"/>
    <row r="145" s="7" customFormat="1" ht="13.5" customHeight="1"/>
    <row r="146" s="7" customFormat="1" ht="13.5" customHeight="1"/>
    <row r="147" s="7" customFormat="1" ht="13.5" customHeight="1"/>
    <row r="148" s="7" customFormat="1" ht="13.5" customHeight="1"/>
    <row r="149" s="7" customFormat="1" ht="13.5" customHeight="1"/>
    <row r="150" s="7" customFormat="1" ht="13.5" customHeight="1"/>
    <row r="151" s="7" customFormat="1" ht="13.5" customHeight="1"/>
    <row r="152" s="7" customFormat="1" ht="13.5" customHeight="1"/>
    <row r="153" s="7" customFormat="1" ht="13.5" customHeight="1"/>
    <row r="154" s="7" customFormat="1" ht="13.5" customHeight="1"/>
    <row r="155" s="7" customFormat="1" ht="13.5" customHeight="1"/>
    <row r="156" s="7" customFormat="1" ht="13.5" customHeight="1"/>
    <row r="157" s="7" customFormat="1" ht="13.5" customHeight="1"/>
    <row r="158" s="7" customFormat="1" ht="13.5" customHeight="1"/>
    <row r="159" s="7" customFormat="1" ht="13.5" customHeight="1"/>
    <row r="160" s="7" customFormat="1" ht="13.5" customHeight="1"/>
    <row r="161" s="7" customFormat="1" ht="13.5" customHeight="1"/>
    <row r="162" s="7" customFormat="1" ht="13.5" customHeight="1"/>
    <row r="163" s="7" customFormat="1" ht="13.5" customHeight="1"/>
    <row r="164" s="7" customFormat="1" ht="13.5" customHeight="1"/>
    <row r="165" s="7" customFormat="1" ht="13.5" customHeight="1"/>
    <row r="166" s="7" customFormat="1" ht="13.5" customHeight="1"/>
    <row r="167" s="7" customFormat="1" ht="13.5" customHeight="1"/>
    <row r="168" s="7" customFormat="1" ht="13.5" customHeight="1"/>
    <row r="169" s="7" customFormat="1" ht="13.5" customHeight="1"/>
    <row r="170" s="7" customFormat="1" ht="13.5" customHeight="1"/>
    <row r="171" s="7" customFormat="1" ht="13.5" customHeight="1"/>
    <row r="172" s="7" customFormat="1" ht="13.5" customHeight="1"/>
    <row r="173" s="7" customFormat="1" ht="13.5" customHeight="1"/>
    <row r="174" s="7" customFormat="1" ht="13.5" customHeight="1"/>
    <row r="175" s="7" customFormat="1" ht="13.5" customHeight="1"/>
    <row r="176" s="7" customFormat="1" ht="13.5" customHeight="1"/>
    <row r="177" s="7" customFormat="1" ht="13.5" customHeight="1"/>
    <row r="178" s="7" customFormat="1" ht="13.5" customHeight="1"/>
    <row r="179" s="7" customFormat="1" ht="13.5" customHeight="1"/>
    <row r="180" s="7" customFormat="1" ht="13.5" customHeight="1"/>
    <row r="181" s="7" customFormat="1" ht="13.5" customHeight="1"/>
    <row r="182" s="7" customFormat="1" ht="13.5" customHeight="1"/>
    <row r="183" s="7" customFormat="1" ht="13.5" customHeight="1"/>
    <row r="184" s="7" customFormat="1" ht="13.5" customHeight="1"/>
    <row r="185" s="7" customFormat="1" ht="13.5" customHeight="1"/>
    <row r="186" s="7" customFormat="1" ht="13.5" customHeight="1"/>
    <row r="187" s="7" customFormat="1" ht="13.5" customHeight="1"/>
    <row r="188" s="7" customFormat="1" ht="13.5" customHeight="1"/>
    <row r="189" s="7" customFormat="1" ht="13.5" customHeight="1"/>
    <row r="190" s="7" customFormat="1" ht="13.5" customHeight="1"/>
    <row r="191" s="7" customFormat="1" ht="13.5" customHeight="1"/>
    <row r="192" s="7" customFormat="1" ht="13.5" customHeight="1"/>
    <row r="193" s="7" customFormat="1" ht="13.5" customHeight="1"/>
    <row r="194" s="7" customFormat="1" ht="13.5" customHeight="1"/>
    <row r="195" s="7" customFormat="1" ht="13.5" customHeight="1"/>
    <row r="196" s="7" customFormat="1" ht="13.5" customHeight="1"/>
    <row r="197" s="7" customFormat="1" ht="13.5" customHeight="1"/>
    <row r="198" s="7" customFormat="1" ht="13.5" customHeight="1"/>
    <row r="199" s="7" customFormat="1" ht="13.5" customHeight="1"/>
    <row r="200" s="7" customFormat="1" ht="13.5" customHeight="1"/>
    <row r="201" s="7" customFormat="1" ht="13.5" customHeight="1"/>
    <row r="202" s="7" customFormat="1" ht="13.5" customHeight="1"/>
    <row r="203" s="7" customFormat="1" ht="13.5" customHeight="1"/>
    <row r="204" s="7" customFormat="1" ht="13.5" customHeight="1"/>
    <row r="205" s="7" customFormat="1" ht="13.5" customHeight="1"/>
    <row r="206" s="7" customFormat="1" ht="13.5" customHeight="1"/>
    <row r="207" s="7" customFormat="1" ht="13.5" customHeight="1"/>
    <row r="208" s="7" customFormat="1" ht="13.5" customHeight="1"/>
    <row r="209" s="7" customFormat="1" ht="13.5" customHeight="1"/>
    <row r="210" s="7" customFormat="1" ht="13.5" customHeight="1"/>
    <row r="211" s="7" customFormat="1" ht="13.5" customHeight="1"/>
    <row r="212" s="7" customFormat="1" ht="13.5" customHeight="1"/>
    <row r="213" s="7" customFormat="1" ht="13.5" customHeight="1"/>
    <row r="214" s="7" customFormat="1" ht="13.5" customHeight="1"/>
    <row r="215" s="7" customFormat="1" ht="13.5" customHeight="1"/>
    <row r="216" s="7" customFormat="1" ht="13.5" customHeight="1"/>
    <row r="217" s="7" customFormat="1" ht="13.5" customHeight="1"/>
    <row r="218" s="7" customFormat="1" ht="13.5" customHeight="1"/>
    <row r="219" s="7" customFormat="1" ht="13.5" customHeight="1"/>
    <row r="220" s="7" customFormat="1" ht="13.5" customHeight="1"/>
    <row r="221" s="7" customFormat="1" ht="13.5" customHeight="1"/>
    <row r="222" s="7" customFormat="1" ht="13.5" customHeight="1"/>
    <row r="223" s="7" customFormat="1" ht="13.5" customHeight="1"/>
    <row r="224" s="7" customFormat="1" ht="13.5" customHeight="1"/>
    <row r="225" s="7" customFormat="1" ht="13.5" customHeight="1"/>
    <row r="226" s="7" customFormat="1" ht="13.5" customHeight="1"/>
    <row r="227" s="7" customFormat="1" ht="13.5" customHeight="1"/>
    <row r="228" s="7" customFormat="1" ht="13.5" customHeight="1"/>
    <row r="229" s="7" customFormat="1" ht="13.5" customHeight="1"/>
    <row r="230" s="7" customFormat="1" ht="13.5" customHeight="1"/>
    <row r="231" s="7" customFormat="1" ht="13.5" customHeight="1"/>
    <row r="232" s="7" customFormat="1" ht="13.5" customHeight="1"/>
    <row r="233" s="7" customFormat="1" ht="13.5" customHeight="1"/>
    <row r="234" s="7" customFormat="1" ht="13.5" customHeight="1"/>
    <row r="235" s="7" customFormat="1" ht="13.5" customHeight="1"/>
    <row r="236" s="7" customFormat="1" ht="13.5" customHeight="1"/>
    <row r="237" s="7" customFormat="1" ht="13.5" customHeight="1"/>
    <row r="238" s="7" customFormat="1" ht="13.5" customHeight="1"/>
    <row r="239" s="7" customFormat="1" ht="13.5" customHeight="1"/>
    <row r="240" s="7" customFormat="1" ht="13.5" customHeight="1"/>
    <row r="241" s="7" customFormat="1" ht="13.5" customHeight="1"/>
    <row r="242" s="7" customFormat="1" ht="13.5" customHeight="1"/>
    <row r="243" s="7" customFormat="1" ht="13.5" customHeight="1"/>
    <row r="244" s="7" customFormat="1" ht="13.5" customHeight="1"/>
    <row r="245" s="7" customFormat="1" ht="13.5" customHeight="1"/>
    <row r="246" s="7" customFormat="1" ht="13.5" customHeight="1"/>
    <row r="247" s="7" customFormat="1" ht="13.5" customHeight="1"/>
    <row r="248" s="7" customFormat="1" ht="13.5" customHeight="1"/>
    <row r="249" s="7" customFormat="1" ht="13.5" customHeight="1"/>
    <row r="250" s="7" customFormat="1" ht="13.5" customHeight="1"/>
    <row r="251" s="7" customFormat="1" ht="13.5" customHeight="1"/>
    <row r="252" s="7" customFormat="1" ht="13.5" customHeight="1"/>
    <row r="253" s="7" customFormat="1" ht="13.5" customHeight="1"/>
    <row r="254" s="7" customFormat="1" ht="13.5" customHeight="1"/>
    <row r="255" s="7" customFormat="1" ht="13.5" customHeight="1"/>
    <row r="256" s="7" customFormat="1" ht="13.5" customHeight="1"/>
    <row r="257" s="7" customFormat="1" ht="13.5" customHeight="1"/>
    <row r="258" s="7" customFormat="1" ht="13.5" customHeight="1"/>
    <row r="259" s="7" customFormat="1" ht="13.5" customHeight="1"/>
    <row r="260" s="7" customFormat="1" ht="13.5" customHeight="1"/>
    <row r="261" s="7" customFormat="1" ht="13.5" customHeight="1"/>
    <row r="262" s="7" customFormat="1" ht="13.5" customHeight="1"/>
    <row r="263" s="7" customFormat="1" ht="13.5" customHeight="1"/>
    <row r="264" s="7" customFormat="1" ht="13.5" customHeight="1"/>
    <row r="265" s="7" customFormat="1" ht="13.5" customHeight="1"/>
    <row r="266" s="7" customFormat="1" ht="13.5" customHeight="1"/>
    <row r="267" s="7" customFormat="1" ht="13.5" customHeight="1"/>
    <row r="268" s="7" customFormat="1" ht="13.5" customHeight="1"/>
    <row r="269" s="7" customFormat="1" ht="13.5" customHeight="1"/>
    <row r="270" s="7" customFormat="1" ht="13.5" customHeight="1"/>
    <row r="271" s="7" customFormat="1" ht="13.5" customHeight="1"/>
    <row r="272" s="7" customFormat="1" ht="13.5" customHeight="1"/>
    <row r="273" s="7" customFormat="1" ht="13.5" customHeight="1"/>
    <row r="274" s="7" customFormat="1" ht="13.5" customHeight="1"/>
    <row r="275" s="7" customFormat="1" ht="13.5" customHeight="1"/>
    <row r="276" s="7" customFormat="1" ht="13.5" customHeight="1"/>
    <row r="277" s="7" customFormat="1" ht="13.5" customHeight="1"/>
    <row r="278" s="7" customFormat="1" ht="13.5" customHeight="1"/>
    <row r="279" s="7" customFormat="1" ht="13.5" customHeight="1"/>
    <row r="280" s="7" customFormat="1" ht="13.5" customHeight="1"/>
    <row r="281" s="7" customFormat="1" ht="13.5" customHeight="1"/>
    <row r="282" s="7" customFormat="1" ht="13.5" customHeight="1"/>
    <row r="283" s="7" customFormat="1" ht="13.5" customHeight="1"/>
    <row r="284" s="7" customFormat="1" ht="13.5" customHeight="1"/>
    <row r="285" s="7" customFormat="1" ht="13.5" customHeight="1"/>
    <row r="286" s="7" customFormat="1" ht="13.5" customHeight="1"/>
    <row r="287" s="7" customFormat="1" ht="13.5" customHeight="1"/>
    <row r="288" s="7" customFormat="1" ht="13.5" customHeight="1"/>
    <row r="289" s="7" customFormat="1" ht="13.5" customHeight="1"/>
    <row r="290" s="7" customFormat="1" ht="13.5" customHeight="1"/>
    <row r="291" s="7" customFormat="1" ht="13.5" customHeight="1"/>
    <row r="292" s="7" customFormat="1" ht="13.5" customHeight="1"/>
    <row r="293" s="7" customFormat="1" ht="13.5" customHeight="1"/>
    <row r="294" s="7" customFormat="1" ht="13.5" customHeight="1"/>
    <row r="295" s="7" customFormat="1" ht="13.5" customHeight="1"/>
    <row r="296" s="7" customFormat="1" ht="13.5" customHeight="1"/>
    <row r="297" s="7" customFormat="1" ht="13.5" customHeight="1"/>
    <row r="298" s="7" customFormat="1" ht="13.5" customHeight="1"/>
    <row r="299" s="7" customFormat="1" ht="13.5" customHeight="1"/>
    <row r="300" s="7" customFormat="1" ht="13.5" customHeight="1"/>
    <row r="301" s="7" customFormat="1" ht="13.5" customHeight="1"/>
    <row r="302" s="7" customFormat="1" ht="13.5" customHeight="1"/>
    <row r="303" s="7" customFormat="1" ht="13.5" customHeight="1"/>
    <row r="304" s="7" customFormat="1" ht="13.5" customHeight="1"/>
    <row r="305" s="7" customFormat="1" ht="13.5" customHeight="1"/>
    <row r="306" s="7" customFormat="1" ht="13.5" customHeight="1"/>
    <row r="307" s="7" customFormat="1" ht="13.5" customHeight="1"/>
    <row r="308" s="7" customFormat="1" ht="13.5" customHeight="1"/>
    <row r="309" s="7" customFormat="1" ht="13.5" customHeight="1"/>
    <row r="310" s="7" customFormat="1" ht="13.5" customHeight="1"/>
    <row r="311" s="7" customFormat="1" ht="13.5" customHeight="1"/>
    <row r="312" s="7" customFormat="1" ht="13.5" customHeight="1"/>
    <row r="313" s="7" customFormat="1" ht="13.5" customHeight="1"/>
    <row r="314" s="7" customFormat="1" ht="13.5" customHeight="1"/>
    <row r="315" s="7" customFormat="1" ht="13.5" customHeight="1"/>
    <row r="316" s="7" customFormat="1" ht="13.5" customHeight="1"/>
    <row r="317" s="7" customFormat="1" ht="13.5" customHeight="1"/>
    <row r="318" s="7" customFormat="1" ht="13.5" customHeight="1"/>
    <row r="319" s="7" customFormat="1" ht="13.5" customHeight="1"/>
    <row r="320" s="7" customFormat="1" ht="13.5" customHeight="1"/>
    <row r="321" s="7" customFormat="1" ht="13.5" customHeight="1"/>
    <row r="322" s="7" customFormat="1" ht="13.5" customHeight="1"/>
    <row r="323" s="7" customFormat="1" ht="13.5" customHeight="1"/>
    <row r="324" s="7" customFormat="1" ht="13.5" customHeight="1"/>
    <row r="325" s="7" customFormat="1" ht="13.5" customHeight="1"/>
    <row r="326" s="7" customFormat="1" ht="13.5" customHeight="1"/>
    <row r="327" s="7" customFormat="1" ht="13.5" customHeight="1"/>
    <row r="328" s="7" customFormat="1" ht="13.5" customHeight="1"/>
    <row r="329" s="7" customFormat="1" ht="13.5" customHeight="1"/>
    <row r="330" s="7" customFormat="1" ht="13.5" customHeight="1"/>
    <row r="331" s="7" customFormat="1" ht="13.5" customHeight="1"/>
    <row r="332" s="7" customFormat="1" ht="13.5" customHeight="1"/>
    <row r="333" s="7" customFormat="1" ht="13.5" customHeight="1"/>
    <row r="334" s="7" customFormat="1" ht="13.5" customHeight="1"/>
    <row r="335" s="7" customFormat="1" ht="13.5" customHeight="1"/>
    <row r="336" s="7" customFormat="1" ht="13.5" customHeight="1"/>
    <row r="337" s="7" customFormat="1" ht="13.5" customHeight="1"/>
    <row r="338" s="7" customFormat="1" ht="13.5" customHeight="1"/>
    <row r="339" s="7" customFormat="1" ht="13.5" customHeight="1"/>
    <row r="340" s="7" customFormat="1" ht="13.5" customHeight="1"/>
    <row r="341" s="7" customFormat="1" ht="13.5" customHeight="1"/>
    <row r="342" s="7" customFormat="1" ht="13.5" customHeight="1"/>
    <row r="343" s="7" customFormat="1" ht="13.5" customHeight="1"/>
    <row r="344" s="7" customFormat="1" ht="13.5" customHeight="1"/>
    <row r="345" s="7" customFormat="1" ht="13.5" customHeight="1"/>
    <row r="346" s="7" customFormat="1" ht="13.5" customHeight="1"/>
    <row r="347" s="7" customFormat="1" ht="13.5" customHeight="1"/>
    <row r="348" s="7" customFormat="1" ht="13.5" customHeight="1"/>
    <row r="349" s="7" customFormat="1" ht="13.5" customHeight="1"/>
    <row r="350" s="7" customFormat="1" ht="13.5" customHeight="1"/>
    <row r="351" s="7" customFormat="1" ht="13.5" customHeight="1"/>
    <row r="352" s="7" customFormat="1" ht="13.5" customHeight="1"/>
    <row r="353" s="7" customFormat="1" ht="13.5" customHeight="1"/>
    <row r="354" s="7" customFormat="1" ht="13.5" customHeight="1"/>
    <row r="355" s="7" customFormat="1" ht="13.5" customHeight="1"/>
    <row r="356" s="7" customFormat="1" ht="13.5" customHeight="1"/>
    <row r="357" s="7" customFormat="1" ht="13.5" customHeight="1"/>
    <row r="358" s="7" customFormat="1" ht="13.5" customHeight="1"/>
    <row r="359" s="7" customFormat="1" ht="13.5" customHeight="1"/>
    <row r="360" s="7" customFormat="1" ht="13.5" customHeight="1"/>
    <row r="361" s="7" customFormat="1" ht="13.5" customHeight="1"/>
    <row r="362" s="7" customFormat="1" ht="13.5" customHeight="1"/>
    <row r="363" s="7" customFormat="1" ht="13.5" customHeight="1"/>
    <row r="364" s="7" customFormat="1" ht="13.5" customHeight="1"/>
    <row r="365" s="7" customFormat="1" ht="13.5" customHeight="1"/>
    <row r="366" s="7" customFormat="1" ht="13.5" customHeight="1"/>
    <row r="367" s="7" customFormat="1" ht="13.5" customHeight="1"/>
    <row r="368" s="7" customFormat="1" ht="13.5" customHeight="1"/>
    <row r="369" s="7" customFormat="1" ht="13.5" customHeight="1"/>
    <row r="370" s="7" customFormat="1" ht="13.5" customHeight="1"/>
    <row r="371" s="7" customFormat="1" ht="13.5" customHeight="1"/>
    <row r="372" s="7" customFormat="1" ht="13.5" customHeight="1"/>
    <row r="373" s="7" customFormat="1" ht="13.5" customHeight="1"/>
    <row r="374" s="7" customFormat="1" ht="13.5" customHeight="1"/>
    <row r="375" s="7" customFormat="1" ht="13.5" customHeight="1"/>
    <row r="376" s="7" customFormat="1" ht="13.5" customHeight="1"/>
    <row r="377" s="7" customFormat="1" ht="13.5" customHeight="1"/>
    <row r="378" s="7" customFormat="1" ht="13.5" customHeight="1"/>
    <row r="379" s="7" customFormat="1" ht="13.5" customHeight="1"/>
    <row r="380" s="7" customFormat="1" ht="13.5" customHeight="1"/>
    <row r="381" s="7" customFormat="1" ht="13.5" customHeight="1"/>
    <row r="382" s="7" customFormat="1" ht="13.5" customHeight="1"/>
    <row r="383" s="7" customFormat="1" ht="13.5" customHeight="1"/>
    <row r="384" s="7" customFormat="1" ht="13.5" customHeight="1"/>
    <row r="385" s="7" customFormat="1" ht="13.5" customHeight="1"/>
    <row r="386" s="7" customFormat="1" ht="13.5" customHeight="1"/>
    <row r="387" s="7" customFormat="1" ht="13.5" customHeight="1"/>
    <row r="388" s="7" customFormat="1" ht="13.5" customHeight="1"/>
    <row r="389" s="7" customFormat="1" ht="13.5" customHeight="1"/>
    <row r="390" s="7" customFormat="1" ht="13.5" customHeight="1"/>
    <row r="391" s="7" customFormat="1" ht="13.5" customHeight="1"/>
    <row r="392" s="7" customFormat="1" ht="13.5" customHeight="1"/>
    <row r="393" s="7" customFormat="1" ht="13.5" customHeight="1"/>
    <row r="394" s="7" customFormat="1" ht="13.5" customHeight="1"/>
    <row r="395" s="7" customFormat="1" ht="13.5" customHeight="1"/>
    <row r="396" s="7" customFormat="1" ht="13.5" customHeight="1"/>
    <row r="397" s="7" customFormat="1" ht="13.5" customHeight="1"/>
    <row r="398" s="7" customFormat="1" ht="13.5" customHeight="1"/>
    <row r="399" s="7" customFormat="1" ht="13.5" customHeight="1"/>
    <row r="400" s="7" customFormat="1" ht="13.5" customHeight="1"/>
    <row r="401" s="7" customFormat="1" ht="13.5" customHeight="1"/>
    <row r="402" s="7" customFormat="1" ht="13.5" customHeight="1"/>
    <row r="403" s="7" customFormat="1" ht="13.5" customHeight="1"/>
    <row r="404" s="7" customFormat="1" ht="13.5" customHeight="1"/>
    <row r="405" s="7" customFormat="1" ht="13.5" customHeight="1"/>
    <row r="406" s="7" customFormat="1" ht="13.5" customHeight="1"/>
    <row r="407" s="7" customFormat="1" ht="13.5" customHeight="1"/>
    <row r="408" s="7" customFormat="1" ht="13.5" customHeight="1"/>
    <row r="409" s="7" customFormat="1" ht="13.5" customHeight="1"/>
    <row r="410" s="7" customFormat="1" ht="13.5" customHeight="1"/>
    <row r="411" s="7" customFormat="1" ht="13.5" customHeight="1"/>
    <row r="412" s="7" customFormat="1" ht="13.5" customHeight="1"/>
    <row r="413" s="7" customFormat="1" ht="13.5" customHeight="1"/>
    <row r="414" s="7" customFormat="1" ht="13.5" customHeight="1"/>
    <row r="415" s="7" customFormat="1" ht="13.5" customHeight="1"/>
    <row r="416" s="7" customFormat="1" ht="13.5" customHeight="1"/>
    <row r="417" s="7" customFormat="1" ht="13.5" customHeight="1"/>
    <row r="418" s="7" customFormat="1" ht="13.5" customHeight="1"/>
    <row r="419" s="7" customFormat="1" ht="13.5" customHeight="1"/>
    <row r="420" s="7" customFormat="1" ht="13.5" customHeight="1"/>
    <row r="421" s="7" customFormat="1" ht="13.5" customHeight="1"/>
    <row r="422" s="7" customFormat="1" ht="13.5" customHeight="1"/>
    <row r="423" s="7" customFormat="1" ht="13.5" customHeight="1"/>
    <row r="424" s="7" customFormat="1" ht="13.5" customHeight="1"/>
    <row r="425" s="7" customFormat="1" ht="13.5" customHeight="1"/>
    <row r="426" s="7" customFormat="1" ht="13.5" customHeight="1"/>
    <row r="427" s="7" customFormat="1" ht="13.5" customHeight="1"/>
    <row r="428" s="7" customFormat="1" ht="13.5" customHeight="1"/>
    <row r="429" s="7" customFormat="1" ht="13.5" customHeight="1"/>
    <row r="430" s="7" customFormat="1" ht="13.5" customHeight="1"/>
    <row r="431" s="7" customFormat="1" ht="13.5" customHeight="1"/>
    <row r="432" s="7" customFormat="1" ht="13.5" customHeight="1"/>
    <row r="433" s="7" customFormat="1" ht="13.5" customHeight="1"/>
    <row r="434" s="7" customFormat="1" ht="13.5" customHeight="1"/>
    <row r="435" s="7" customFormat="1" ht="13.5" customHeight="1"/>
    <row r="436" s="7" customFormat="1" ht="13.5" customHeight="1"/>
    <row r="437" s="7" customFormat="1" ht="13.5" customHeight="1"/>
    <row r="438" s="7" customFormat="1" ht="13.5" customHeight="1"/>
    <row r="439" s="7" customFormat="1" ht="13.5" customHeight="1"/>
    <row r="440" s="7" customFormat="1" ht="13.5" customHeight="1"/>
    <row r="441" s="7" customFormat="1" ht="13.5" customHeight="1"/>
    <row r="442" s="7" customFormat="1" ht="13.5" customHeight="1"/>
    <row r="443" s="7" customFormat="1" ht="13.5" customHeight="1"/>
    <row r="444" s="7" customFormat="1" ht="13.5" customHeight="1"/>
    <row r="445" s="7" customFormat="1" ht="13.5" customHeight="1"/>
    <row r="446" s="7" customFormat="1" ht="13.5" customHeight="1"/>
    <row r="447" s="7" customFormat="1" ht="13.5" customHeight="1"/>
    <row r="448" s="7" customFormat="1" ht="13.5" customHeight="1"/>
    <row r="449" s="7" customFormat="1" ht="13.5" customHeight="1"/>
    <row r="450" s="7" customFormat="1" ht="13.5" customHeight="1"/>
    <row r="451" s="7" customFormat="1" ht="13.5" customHeight="1"/>
    <row r="452" s="7" customFormat="1" ht="13.5" customHeight="1"/>
    <row r="453" s="7" customFormat="1" ht="13.5" customHeight="1"/>
    <row r="454" s="7" customFormat="1" ht="13.5" customHeight="1"/>
    <row r="455" s="7" customFormat="1" ht="13.5" customHeight="1"/>
    <row r="456" s="7" customFormat="1" ht="13.5" customHeight="1"/>
    <row r="457" s="7" customFormat="1" ht="13.5" customHeight="1"/>
    <row r="458" s="7" customFormat="1" ht="13.5" customHeight="1"/>
    <row r="459" s="7" customFormat="1" ht="13.5" customHeight="1"/>
    <row r="460" s="7" customFormat="1" ht="13.5" customHeight="1"/>
    <row r="461" s="7" customFormat="1" ht="13.5" customHeight="1"/>
    <row r="462" s="7" customFormat="1" ht="13.5" customHeight="1"/>
    <row r="463" s="7" customFormat="1" ht="13.5" customHeight="1"/>
    <row r="464" s="7" customFormat="1" ht="13.5" customHeight="1"/>
    <row r="465" s="7" customFormat="1" ht="13.5" customHeight="1"/>
    <row r="466" s="7" customFormat="1" ht="13.5" customHeight="1"/>
    <row r="467" s="7" customFormat="1" ht="13.5" customHeight="1"/>
    <row r="468" s="7" customFormat="1" ht="13.5" customHeight="1"/>
    <row r="469" s="7" customFormat="1" ht="13.5" customHeight="1"/>
    <row r="470" s="7" customFormat="1" ht="13.5" customHeight="1"/>
    <row r="471" s="7" customFormat="1" ht="13.5" customHeight="1"/>
    <row r="472" s="7" customFormat="1" ht="13.5" customHeight="1"/>
    <row r="473" s="7" customFormat="1" ht="13.5" customHeight="1"/>
    <row r="474" s="7" customFormat="1" ht="13.5" customHeight="1"/>
    <row r="475" s="7" customFormat="1" ht="13.5" customHeight="1"/>
    <row r="476" s="7" customFormat="1" ht="13.5" customHeight="1"/>
    <row r="477" s="7" customFormat="1" ht="13.5" customHeight="1"/>
    <row r="478" s="7" customFormat="1" ht="13.5" customHeight="1"/>
    <row r="479" s="7" customFormat="1" ht="13.5" customHeight="1"/>
    <row r="480" s="7" customFormat="1" ht="13.5" customHeight="1"/>
    <row r="481" s="7" customFormat="1" ht="13.5" customHeight="1"/>
    <row r="482" s="7" customFormat="1" ht="13.5" customHeight="1"/>
    <row r="483" s="7" customFormat="1" ht="13.5" customHeight="1"/>
    <row r="484" s="7" customFormat="1" ht="13.5" customHeight="1"/>
    <row r="485" s="7" customFormat="1" ht="13.5" customHeight="1"/>
    <row r="486" s="7" customFormat="1" ht="13.5" customHeight="1"/>
    <row r="487" s="7" customFormat="1" ht="13.5" customHeight="1"/>
    <row r="488" s="7" customFormat="1" ht="13.5" customHeight="1"/>
    <row r="489" s="7" customFormat="1" ht="13.5" customHeight="1"/>
    <row r="490" s="7" customFormat="1" ht="13.5" customHeight="1"/>
    <row r="491" s="7" customFormat="1" ht="13.5" customHeight="1"/>
    <row r="492" s="7" customFormat="1" ht="13.5" customHeight="1"/>
    <row r="493" s="7" customFormat="1" ht="13.5" customHeight="1"/>
    <row r="494" s="7" customFormat="1" ht="13.5" customHeight="1"/>
    <row r="495" s="7" customFormat="1" ht="13.5" customHeight="1"/>
    <row r="496" s="7" customFormat="1" ht="13.5" customHeight="1"/>
    <row r="497" s="7" customFormat="1" ht="13.5" customHeight="1"/>
    <row r="498" s="7" customFormat="1" ht="13.5" customHeight="1"/>
    <row r="499" s="7" customFormat="1" ht="13.5" customHeight="1"/>
    <row r="500" s="7" customFormat="1" ht="13.5" customHeight="1"/>
    <row r="501" s="7" customFormat="1" ht="13.5" customHeight="1"/>
    <row r="502" s="7" customFormat="1" ht="13.5" customHeight="1"/>
    <row r="503" s="7" customFormat="1" ht="13.5" customHeight="1"/>
    <row r="504" s="7" customFormat="1" ht="13.5" customHeight="1"/>
    <row r="505" s="7" customFormat="1" ht="13.5" customHeight="1"/>
    <row r="506" s="7" customFormat="1" ht="13.5" customHeight="1"/>
    <row r="507" s="7" customFormat="1" ht="13.5" customHeight="1"/>
    <row r="508" s="7" customFormat="1" ht="13.5" customHeight="1"/>
    <row r="509" s="7" customFormat="1" ht="13.5" customHeight="1"/>
    <row r="510" s="7" customFormat="1" ht="13.5" customHeight="1"/>
    <row r="511" s="7" customFormat="1" ht="13.5" customHeight="1"/>
    <row r="512" s="7" customFormat="1" ht="13.5" customHeight="1"/>
    <row r="513" s="7" customFormat="1" ht="13.5" customHeight="1"/>
    <row r="514" s="7" customFormat="1" ht="13.5" customHeight="1"/>
    <row r="515" s="7" customFormat="1" ht="13.5" customHeight="1"/>
    <row r="516" s="7" customFormat="1" ht="13.5" customHeight="1"/>
    <row r="517" s="7" customFormat="1" ht="13.5" customHeight="1"/>
    <row r="518" s="7" customFormat="1" ht="13.5" customHeight="1"/>
    <row r="519" s="7" customFormat="1" ht="13.5" customHeight="1"/>
    <row r="520" s="7" customFormat="1" ht="13.5" customHeight="1"/>
    <row r="521" s="7" customFormat="1" ht="13.5" customHeight="1"/>
    <row r="522" s="7" customFormat="1" ht="13.5" customHeight="1"/>
    <row r="523" s="7" customFormat="1" ht="13.5" customHeight="1"/>
    <row r="524" s="7" customFormat="1" ht="13.5" customHeight="1"/>
    <row r="525" s="7" customFormat="1" ht="13.5" customHeight="1"/>
    <row r="526" s="7" customFormat="1" ht="13.5" customHeight="1"/>
    <row r="527" s="7" customFormat="1" ht="13.5" customHeight="1"/>
    <row r="528" s="7" customFormat="1" ht="13.5" customHeight="1"/>
    <row r="529" s="7" customFormat="1" ht="13.5" customHeight="1"/>
    <row r="530" s="7" customFormat="1" ht="13.5" customHeight="1"/>
    <row r="531" s="7" customFormat="1" ht="13.5" customHeight="1"/>
    <row r="532" s="7" customFormat="1" ht="13.5" customHeight="1"/>
    <row r="533" s="7" customFormat="1" ht="13.5" customHeight="1"/>
    <row r="534" s="7" customFormat="1" ht="13.5" customHeight="1"/>
    <row r="535" s="7" customFormat="1" ht="13.5" customHeight="1"/>
    <row r="536" s="7" customFormat="1" ht="13.5" customHeight="1"/>
    <row r="537" s="7" customFormat="1" ht="13.5" customHeight="1"/>
    <row r="538" s="7" customFormat="1" ht="13.5" customHeight="1"/>
    <row r="539" s="7" customFormat="1" ht="13.5" customHeight="1"/>
    <row r="540" s="7" customFormat="1" ht="13.5" customHeight="1"/>
    <row r="541" s="7" customFormat="1" ht="13.5" customHeight="1"/>
    <row r="542" s="7" customFormat="1" ht="13.5" customHeight="1"/>
    <row r="543" s="7" customFormat="1" ht="13.5" customHeight="1"/>
    <row r="544" s="7" customFormat="1" ht="13.5" customHeight="1"/>
    <row r="545" s="7" customFormat="1" ht="13.5" customHeight="1"/>
    <row r="546" s="7" customFormat="1" ht="13.5" customHeight="1"/>
    <row r="547" s="7" customFormat="1" ht="13.5" customHeight="1"/>
    <row r="548" s="7" customFormat="1" ht="13.5" customHeight="1"/>
    <row r="549" s="7" customFormat="1" ht="13.5" customHeight="1"/>
    <row r="550" s="7" customFormat="1" ht="13.5" customHeight="1"/>
    <row r="551" s="7" customFormat="1" ht="13.5" customHeight="1"/>
    <row r="552" s="7" customFormat="1" ht="13.5" customHeight="1"/>
    <row r="553" s="7" customFormat="1" ht="13.5" customHeight="1"/>
    <row r="554" s="7" customFormat="1" ht="13.5" customHeight="1"/>
    <row r="555" s="7" customFormat="1" ht="13.5" customHeight="1"/>
    <row r="556" s="7" customFormat="1" ht="13.5" customHeight="1"/>
    <row r="557" s="7" customFormat="1" ht="13.5" customHeight="1"/>
    <row r="558" s="7" customFormat="1" ht="13.5" customHeight="1"/>
    <row r="559" s="7" customFormat="1" ht="13.5" customHeight="1"/>
    <row r="560" s="7" customFormat="1" ht="13.5" customHeight="1"/>
    <row r="561" s="7" customFormat="1" ht="13.5" customHeight="1"/>
    <row r="562" s="7" customFormat="1" ht="13.5" customHeight="1"/>
    <row r="563" s="7" customFormat="1" ht="13.5" customHeight="1"/>
    <row r="564" s="7" customFormat="1" ht="13.5" customHeight="1"/>
    <row r="565" s="7" customFormat="1" ht="13.5" customHeight="1"/>
    <row r="566" s="7" customFormat="1" ht="13.5" customHeight="1"/>
    <row r="567" s="7" customFormat="1" ht="13.5" customHeight="1"/>
    <row r="568" s="7" customFormat="1" ht="13.5" customHeight="1"/>
    <row r="569" s="7" customFormat="1" ht="13.5" customHeight="1"/>
    <row r="570" s="7" customFormat="1" ht="13.5" customHeight="1"/>
    <row r="571" s="7" customFormat="1" ht="13.5" customHeight="1"/>
    <row r="572" s="7" customFormat="1" ht="13.5" customHeight="1"/>
    <row r="573" s="7" customFormat="1" ht="13.5" customHeight="1"/>
    <row r="574" s="7" customFormat="1" ht="13.5" customHeight="1"/>
    <row r="575" s="7" customFormat="1" ht="13.5" customHeight="1"/>
    <row r="576" s="7" customFormat="1" ht="13.5" customHeight="1"/>
    <row r="577" s="7" customFormat="1" ht="13.5" customHeight="1"/>
    <row r="578" s="7" customFormat="1" ht="13.5" customHeight="1"/>
    <row r="579" s="7" customFormat="1" ht="13.5" customHeight="1"/>
    <row r="580" s="7" customFormat="1" ht="13.5" customHeight="1"/>
    <row r="581" s="7" customFormat="1" ht="13.5" customHeight="1"/>
    <row r="582" s="7" customFormat="1" ht="13.5" customHeight="1"/>
    <row r="583" s="7" customFormat="1" ht="13.5" customHeight="1"/>
    <row r="584" s="7" customFormat="1" ht="13.5" customHeight="1"/>
    <row r="585" s="7" customFormat="1" ht="13.5" customHeight="1"/>
    <row r="586" s="7" customFormat="1" ht="13.5" customHeight="1"/>
    <row r="587" s="7" customFormat="1" ht="13.5" customHeight="1"/>
    <row r="588" s="7" customFormat="1" ht="13.5" customHeight="1"/>
    <row r="589" s="7" customFormat="1" ht="13.5" customHeight="1"/>
    <row r="590" s="7" customFormat="1" ht="13.5" customHeight="1"/>
    <row r="591" s="7" customFormat="1" ht="13.5" customHeight="1"/>
    <row r="592" s="7" customFormat="1" ht="13.5" customHeight="1"/>
    <row r="593" s="7" customFormat="1" ht="13.5" customHeight="1"/>
    <row r="594" s="7" customFormat="1" ht="13.5" customHeight="1"/>
    <row r="595" s="7" customFormat="1" ht="13.5" customHeight="1"/>
    <row r="596" s="7" customFormat="1" ht="13.5" customHeight="1"/>
    <row r="597" s="7" customFormat="1" ht="13.5" customHeight="1"/>
    <row r="598" s="7" customFormat="1" ht="13.5" customHeight="1"/>
    <row r="599" s="7" customFormat="1" ht="13.5" customHeight="1"/>
    <row r="600" s="7" customFormat="1" ht="13.5" customHeight="1"/>
    <row r="601" s="7" customFormat="1" ht="13.5" customHeight="1"/>
    <row r="602" s="7" customFormat="1" ht="13.5" customHeight="1"/>
    <row r="603" s="7" customFormat="1" ht="13.5" customHeight="1"/>
    <row r="604" s="7" customFormat="1" ht="13.5" customHeight="1"/>
    <row r="605" s="7" customFormat="1" ht="13.5" customHeight="1"/>
    <row r="606" s="7" customFormat="1" ht="13.5" customHeight="1"/>
    <row r="607" s="7" customFormat="1" ht="13.5" customHeight="1"/>
    <row r="608" s="7" customFormat="1" ht="13.5" customHeight="1"/>
    <row r="609" s="7" customFormat="1" ht="13.5" customHeight="1"/>
    <row r="610" s="7" customFormat="1" ht="13.5" customHeight="1"/>
    <row r="611" s="7" customFormat="1" ht="13.5" customHeight="1"/>
    <row r="612" s="7" customFormat="1" ht="13.5" customHeight="1"/>
    <row r="613" s="7" customFormat="1" ht="13.5" customHeight="1"/>
    <row r="614" s="7" customFormat="1" ht="13.5" customHeight="1"/>
    <row r="615" s="7" customFormat="1" ht="13.5" customHeight="1"/>
    <row r="616" s="7" customFormat="1" ht="13.5" customHeight="1"/>
    <row r="617" s="7" customFormat="1" ht="13.5" customHeight="1"/>
    <row r="618" s="7" customFormat="1" ht="13.5" customHeight="1"/>
    <row r="619" s="7" customFormat="1" ht="13.5" customHeight="1"/>
    <row r="620" s="7" customFormat="1" ht="13.5" customHeight="1"/>
    <row r="621" s="7" customFormat="1" ht="13.5" customHeight="1"/>
    <row r="622" s="7" customFormat="1" ht="13.5" customHeight="1"/>
    <row r="623" s="7" customFormat="1" ht="13.5" customHeight="1"/>
    <row r="624" s="7" customFormat="1" ht="13.5" customHeight="1"/>
    <row r="625" s="7" customFormat="1" ht="13.5" customHeight="1"/>
    <row r="626" s="7" customFormat="1" ht="13.5" customHeight="1"/>
    <row r="627" s="7" customFormat="1" ht="13.5" customHeight="1"/>
    <row r="628" s="7" customFormat="1" ht="13.5" customHeight="1"/>
    <row r="629" s="7" customFormat="1" ht="13.5" customHeight="1"/>
    <row r="630" s="7" customFormat="1" ht="13.5" customHeight="1"/>
    <row r="631" s="7" customFormat="1" ht="13.5" customHeight="1"/>
    <row r="632" s="7" customFormat="1" ht="13.5" customHeight="1"/>
    <row r="633" s="7" customFormat="1" ht="13.5" customHeight="1"/>
    <row r="634" s="7" customFormat="1" ht="13.5" customHeight="1"/>
    <row r="635" s="7" customFormat="1" ht="13.5" customHeight="1"/>
    <row r="636" s="7" customFormat="1" ht="13.5" customHeight="1"/>
    <row r="637" s="7" customFormat="1" ht="13.5" customHeight="1"/>
    <row r="638" s="7" customFormat="1" ht="13.5" customHeight="1"/>
    <row r="639" s="7" customFormat="1" ht="13.5" customHeight="1"/>
    <row r="640" s="7" customFormat="1" ht="13.5" customHeight="1"/>
    <row r="641" s="7" customFormat="1" ht="13.5" customHeight="1"/>
    <row r="642" s="7" customFormat="1" ht="13.5" customHeight="1"/>
    <row r="643" s="7" customFormat="1" ht="13.5" customHeight="1"/>
    <row r="644" s="7" customFormat="1" ht="13.5" customHeight="1"/>
    <row r="645" s="7" customFormat="1" ht="13.5" customHeight="1"/>
    <row r="646" s="7" customFormat="1" ht="13.5" customHeight="1"/>
    <row r="647" s="7" customFormat="1" ht="13.5" customHeight="1"/>
    <row r="648" s="7" customFormat="1" ht="13.5" customHeight="1"/>
    <row r="649" s="7" customFormat="1" ht="13.5" customHeight="1"/>
    <row r="650" s="7" customFormat="1" ht="13.5" customHeight="1"/>
    <row r="651" s="7" customFormat="1" ht="13.5" customHeight="1"/>
    <row r="652" s="7" customFormat="1" ht="13.5" customHeight="1"/>
    <row r="653" s="7" customFormat="1" ht="13.5" customHeight="1"/>
    <row r="654" s="7" customFormat="1" ht="13.5" customHeight="1"/>
    <row r="655" s="7" customFormat="1" ht="13.5" customHeight="1"/>
    <row r="656" s="7" customFormat="1" ht="13.5" customHeight="1"/>
    <row r="657" s="7" customFormat="1" ht="13.5" customHeight="1"/>
    <row r="658" s="7" customFormat="1" ht="13.5" customHeight="1"/>
    <row r="659" s="7" customFormat="1" ht="13.5" customHeight="1"/>
    <row r="660" s="7" customFormat="1" ht="13.5" customHeight="1"/>
    <row r="661" s="7" customFormat="1" ht="13.5" customHeight="1"/>
    <row r="662" s="7" customFormat="1" ht="13.5" customHeight="1"/>
    <row r="663" s="7" customFormat="1" ht="13.5" customHeight="1"/>
    <row r="664" s="7" customFormat="1" ht="13.5" customHeight="1"/>
    <row r="665" s="7" customFormat="1" ht="13.5" customHeight="1"/>
    <row r="666" s="7" customFormat="1" ht="13.5" customHeight="1"/>
    <row r="667" s="7" customFormat="1" ht="13.5" customHeight="1"/>
    <row r="668" s="7" customFormat="1" ht="13.5" customHeight="1"/>
    <row r="669" s="7" customFormat="1" ht="13.5" customHeight="1"/>
    <row r="670" s="7" customFormat="1" ht="13.5" customHeight="1"/>
    <row r="671" s="7" customFormat="1" ht="13.5" customHeight="1"/>
    <row r="672" s="7" customFormat="1" ht="13.5" customHeight="1"/>
    <row r="673" s="7" customFormat="1" ht="13.5" customHeight="1"/>
    <row r="674" s="7" customFormat="1" ht="13.5" customHeight="1"/>
    <row r="675" s="7" customFormat="1" ht="13.5" customHeight="1"/>
    <row r="676" s="7" customFormat="1" ht="13.5" customHeight="1"/>
    <row r="677" s="7" customFormat="1" ht="13.5" customHeight="1"/>
    <row r="678" s="7" customFormat="1" ht="13.5" customHeight="1"/>
    <row r="679" s="7" customFormat="1" ht="13.5" customHeight="1"/>
    <row r="680" s="7" customFormat="1" ht="13.5" customHeight="1"/>
    <row r="681" s="7" customFormat="1" ht="13.5" customHeight="1"/>
    <row r="682" s="7" customFormat="1" ht="13.5" customHeight="1"/>
    <row r="683" s="7" customFormat="1" ht="13.5" customHeight="1"/>
    <row r="684" s="7" customFormat="1" ht="13.5" customHeight="1"/>
    <row r="685" s="7" customFormat="1" ht="13.5" customHeight="1"/>
    <row r="686" s="7" customFormat="1" ht="13.5" customHeight="1"/>
    <row r="687" s="7" customFormat="1" ht="13.5" customHeight="1"/>
    <row r="688" s="7" customFormat="1" ht="13.5" customHeight="1"/>
    <row r="689" s="7" customFormat="1" ht="13.5" customHeight="1"/>
    <row r="690" s="7" customFormat="1" ht="13.5" customHeight="1"/>
    <row r="691" s="7" customFormat="1" ht="13.5" customHeight="1"/>
    <row r="692" s="7" customFormat="1" ht="13.5" customHeight="1"/>
    <row r="693" s="7" customFormat="1" ht="13.5" customHeight="1"/>
    <row r="694" s="7" customFormat="1" ht="13.5" customHeight="1"/>
    <row r="695" s="7" customFormat="1" ht="13.5" customHeight="1"/>
    <row r="696" s="7" customFormat="1" ht="13.5" customHeight="1"/>
    <row r="697" s="7" customFormat="1" ht="13.5" customHeight="1"/>
    <row r="698" s="7" customFormat="1" ht="13.5" customHeight="1"/>
    <row r="699" s="7" customFormat="1" ht="13.5" customHeight="1"/>
    <row r="700" s="7" customFormat="1" ht="13.5" customHeight="1"/>
    <row r="701" s="7" customFormat="1" ht="13.5" customHeight="1"/>
    <row r="702" s="7" customFormat="1" ht="13.5" customHeight="1"/>
    <row r="703" s="7" customFormat="1" ht="13.5" customHeight="1"/>
    <row r="704" s="7" customFormat="1" ht="13.5" customHeight="1"/>
    <row r="705" s="7" customFormat="1" ht="13.5" customHeight="1"/>
    <row r="706" s="7" customFormat="1" ht="13.5" customHeight="1"/>
    <row r="707" s="7" customFormat="1" ht="13.5" customHeight="1"/>
    <row r="708" s="7" customFormat="1" ht="13.5" customHeight="1"/>
    <row r="709" s="7" customFormat="1" ht="13.5" customHeight="1"/>
    <row r="710" s="7" customFormat="1" ht="13.5" customHeight="1"/>
    <row r="711" s="7" customFormat="1" ht="13.5" customHeight="1"/>
    <row r="712" s="7" customFormat="1" ht="13.5" customHeight="1"/>
    <row r="713" s="7" customFormat="1" ht="13.5" customHeight="1"/>
    <row r="714" s="7" customFormat="1" ht="13.5" customHeight="1"/>
    <row r="715" s="7" customFormat="1" ht="13.5" customHeight="1"/>
    <row r="716" s="7" customFormat="1" ht="13.5" customHeight="1"/>
    <row r="717" s="7" customFormat="1" ht="13.5" customHeight="1"/>
    <row r="718" s="7" customFormat="1" ht="13.5" customHeight="1"/>
    <row r="719" s="7" customFormat="1" ht="13.5" customHeight="1"/>
    <row r="720" s="7" customFormat="1" ht="13.5" customHeight="1"/>
    <row r="721" s="7" customFormat="1" ht="13.5" customHeight="1"/>
    <row r="722" s="7" customFormat="1" ht="13.5" customHeight="1"/>
    <row r="723" s="7" customFormat="1" ht="13.5" customHeight="1"/>
    <row r="724" s="7" customFormat="1" ht="13.5" customHeight="1"/>
    <row r="725" s="7" customFormat="1" ht="13.5" customHeight="1"/>
    <row r="726" s="7" customFormat="1" ht="13.5" customHeight="1"/>
    <row r="727" s="7" customFormat="1" ht="13.5" customHeight="1"/>
    <row r="728" s="7" customFormat="1" ht="13.5" customHeight="1"/>
    <row r="729" s="7" customFormat="1" ht="13.5" customHeight="1"/>
    <row r="730" s="7" customFormat="1" ht="13.5" customHeight="1"/>
    <row r="731" s="7" customFormat="1" ht="13.5" customHeight="1"/>
    <row r="732" s="7" customFormat="1" ht="13.5" customHeight="1"/>
    <row r="733" s="7" customFormat="1" ht="13.5" customHeight="1"/>
    <row r="734" s="7" customFormat="1" ht="13.5" customHeight="1"/>
    <row r="735" s="7" customFormat="1" ht="13.5" customHeight="1"/>
    <row r="736" s="7" customFormat="1" ht="13.5" customHeight="1"/>
    <row r="737" s="7" customFormat="1" ht="13.5" customHeight="1"/>
    <row r="738" s="7" customFormat="1" ht="13.5" customHeight="1"/>
    <row r="739" s="7" customFormat="1" ht="13.5" customHeight="1"/>
    <row r="740" s="7" customFormat="1" ht="13.5" customHeight="1"/>
    <row r="741" s="7" customFormat="1" ht="13.5" customHeight="1"/>
    <row r="742" s="7" customFormat="1" ht="13.5" customHeight="1"/>
    <row r="743" s="7" customFormat="1" ht="13.5" customHeight="1"/>
    <row r="744" s="7" customFormat="1" ht="13.5" customHeight="1"/>
    <row r="745" s="7" customFormat="1" ht="13.5" customHeight="1"/>
    <row r="746" s="7" customFormat="1" ht="13.5" customHeight="1"/>
    <row r="747" s="7" customFormat="1" ht="13.5" customHeight="1"/>
    <row r="748" s="7" customFormat="1" ht="13.5" customHeight="1"/>
    <row r="749" s="7" customFormat="1" ht="13.5" customHeight="1"/>
    <row r="750" s="7" customFormat="1" ht="13.5" customHeight="1"/>
    <row r="751" s="7" customFormat="1" ht="13.5" customHeight="1"/>
    <row r="752" s="7" customFormat="1" ht="13.5" customHeight="1"/>
    <row r="753" s="7" customFormat="1" ht="13.5" customHeight="1"/>
    <row r="754" s="7" customFormat="1" ht="13.5" customHeight="1"/>
    <row r="755" s="7" customFormat="1" ht="13.5" customHeight="1"/>
    <row r="756" s="7" customFormat="1" ht="13.5" customHeight="1"/>
    <row r="757" s="7" customFormat="1" ht="13.5" customHeight="1"/>
    <row r="758" s="7" customFormat="1" ht="13.5" customHeight="1"/>
    <row r="759" s="7" customFormat="1" ht="13.5" customHeight="1"/>
    <row r="760" s="7" customFormat="1" ht="13.5" customHeight="1"/>
    <row r="761" s="7" customFormat="1" ht="13.5" customHeight="1"/>
    <row r="762" s="7" customFormat="1" ht="13.5" customHeight="1"/>
    <row r="763" s="7" customFormat="1" ht="13.5" customHeight="1"/>
    <row r="764" s="7" customFormat="1" ht="13.5" customHeight="1"/>
    <row r="765" s="7" customFormat="1" ht="13.5" customHeight="1"/>
    <row r="766" s="7" customFormat="1" ht="13.5" customHeight="1"/>
    <row r="767" s="7" customFormat="1" ht="13.5" customHeight="1"/>
    <row r="768" s="7" customFormat="1" ht="13.5" customHeight="1"/>
    <row r="769" s="7" customFormat="1" ht="13.5" customHeight="1"/>
    <row r="770" s="7" customFormat="1" ht="13.5" customHeight="1"/>
    <row r="771" s="7" customFormat="1" ht="13.5" customHeight="1"/>
    <row r="772" s="7" customFormat="1" ht="13.5" customHeight="1"/>
    <row r="773" s="7" customFormat="1" ht="13.5" customHeight="1"/>
    <row r="774" s="7" customFormat="1" ht="13.5" customHeight="1"/>
    <row r="775" s="7" customFormat="1" ht="13.5" customHeight="1"/>
    <row r="776" s="7" customFormat="1" ht="13.5" customHeight="1"/>
    <row r="777" s="7" customFormat="1" ht="13.5" customHeight="1"/>
    <row r="778" s="7" customFormat="1" ht="13.5" customHeight="1"/>
    <row r="779" s="7" customFormat="1" ht="13.5" customHeight="1"/>
    <row r="780" s="7" customFormat="1" ht="13.5" customHeight="1"/>
    <row r="781" s="7" customFormat="1" ht="13.5" customHeight="1"/>
    <row r="782" s="7" customFormat="1" ht="13.5" customHeight="1"/>
    <row r="783" s="7" customFormat="1" ht="13.5" customHeight="1"/>
    <row r="784" s="7" customFormat="1" ht="13.5" customHeight="1"/>
    <row r="785" s="7" customFormat="1" ht="13.5" customHeight="1"/>
    <row r="786" s="7" customFormat="1" ht="13.5" customHeight="1"/>
    <row r="787" s="7" customFormat="1" ht="13.5" customHeight="1"/>
    <row r="788" s="7" customFormat="1" ht="13.5" customHeight="1"/>
    <row r="789" s="7" customFormat="1" ht="13.5" customHeight="1"/>
    <row r="790" s="7" customFormat="1" ht="13.5" customHeight="1"/>
    <row r="791" s="7" customFormat="1" ht="13.5" customHeight="1"/>
    <row r="792" s="7" customFormat="1" ht="13.5" customHeight="1"/>
    <row r="793" s="7" customFormat="1" ht="13.5" customHeight="1"/>
    <row r="794" s="7" customFormat="1" ht="13.5" customHeight="1"/>
    <row r="795" s="7" customFormat="1" ht="13.5" customHeight="1"/>
    <row r="796" s="7" customFormat="1" ht="13.5" customHeight="1"/>
    <row r="797" s="7" customFormat="1" ht="13.5" customHeight="1"/>
    <row r="798" s="7" customFormat="1" ht="13.5" customHeight="1"/>
    <row r="799" s="7" customFormat="1" ht="13.5" customHeight="1"/>
    <row r="800" s="7" customFormat="1" ht="13.5" customHeight="1"/>
    <row r="801" s="7" customFormat="1" ht="13.5" customHeight="1"/>
    <row r="802" s="7" customFormat="1" ht="13.5" customHeight="1"/>
    <row r="803" s="7" customFormat="1" ht="13.5" customHeight="1"/>
    <row r="804" s="7" customFormat="1" ht="13.5" customHeight="1"/>
    <row r="805" s="7" customFormat="1" ht="13.5" customHeight="1"/>
    <row r="806" s="7" customFormat="1" ht="13.5" customHeight="1"/>
    <row r="807" s="7" customFormat="1" ht="13.5" customHeight="1"/>
    <row r="808" s="7" customFormat="1" ht="13.5" customHeight="1"/>
    <row r="809" s="7" customFormat="1" ht="13.5" customHeight="1"/>
    <row r="810" s="7" customFormat="1" ht="13.5" customHeight="1"/>
    <row r="811" s="7" customFormat="1" ht="13.5" customHeight="1"/>
    <row r="812" s="7" customFormat="1" ht="13.5" customHeight="1"/>
    <row r="813" s="7" customFormat="1" ht="13.5" customHeight="1"/>
    <row r="814" s="7" customFormat="1" ht="13.5" customHeight="1"/>
    <row r="815" s="7" customFormat="1" ht="13.5" customHeight="1"/>
    <row r="816" s="7" customFormat="1" ht="13.5" customHeight="1"/>
    <row r="817" s="7" customFormat="1" ht="13.5" customHeight="1"/>
    <row r="818" s="7" customFormat="1" ht="13.5" customHeight="1"/>
    <row r="819" s="7" customFormat="1" ht="13.5" customHeight="1"/>
    <row r="820" s="7" customFormat="1" ht="13.5" customHeight="1"/>
    <row r="821" s="7" customFormat="1" ht="13.5" customHeight="1"/>
    <row r="822" s="7" customFormat="1" ht="13.5" customHeight="1"/>
    <row r="823" s="7" customFormat="1" ht="13.5" customHeight="1"/>
    <row r="824" s="7" customFormat="1" ht="13.5" customHeight="1"/>
    <row r="825" s="7" customFormat="1" ht="13.5" customHeight="1"/>
    <row r="826" s="7" customFormat="1" ht="13.5" customHeight="1"/>
    <row r="827" s="7" customFormat="1" ht="13.5" customHeight="1"/>
    <row r="828" s="7" customFormat="1" ht="13.5" customHeight="1"/>
    <row r="829" s="7" customFormat="1" ht="13.5" customHeight="1"/>
    <row r="830" s="7" customFormat="1" ht="13.5" customHeight="1"/>
    <row r="831" s="7" customFormat="1" ht="13.5" customHeight="1"/>
    <row r="832" s="7" customFormat="1" ht="13.5" customHeight="1"/>
    <row r="833" s="7" customFormat="1" ht="13.5" customHeight="1"/>
    <row r="834" s="7" customFormat="1" ht="13.5" customHeight="1"/>
    <row r="835" s="7" customFormat="1" ht="13.5" customHeight="1"/>
    <row r="836" s="7" customFormat="1" ht="13.5" customHeight="1"/>
    <row r="837" s="7" customFormat="1" ht="13.5" customHeight="1"/>
    <row r="838" s="7" customFormat="1" ht="13.5" customHeight="1"/>
    <row r="839" s="7" customFormat="1" ht="13.5" customHeight="1"/>
    <row r="840" s="7" customFormat="1" ht="13.5" customHeight="1"/>
    <row r="841" s="7" customFormat="1" ht="13.5" customHeight="1"/>
    <row r="842" s="7" customFormat="1" ht="13.5" customHeight="1"/>
    <row r="843" s="7" customFormat="1" ht="13.5" customHeight="1"/>
    <row r="844" s="7" customFormat="1" ht="13.5" customHeight="1"/>
    <row r="845" s="7" customFormat="1" ht="13.5" customHeight="1"/>
    <row r="846" s="7" customFormat="1" ht="13.5" customHeight="1"/>
    <row r="847" s="7" customFormat="1" ht="13.5" customHeight="1"/>
    <row r="848" s="7" customFormat="1" ht="13.5" customHeight="1"/>
    <row r="849" s="7" customFormat="1" ht="13.5" customHeight="1"/>
    <row r="850" s="7" customFormat="1" ht="13.5" customHeight="1"/>
    <row r="851" s="7" customFormat="1" ht="13.5" customHeight="1"/>
    <row r="852" s="7" customFormat="1" ht="13.5" customHeight="1"/>
    <row r="853" s="7" customFormat="1" ht="13.5" customHeight="1"/>
    <row r="854" s="7" customFormat="1" ht="13.5" customHeight="1"/>
    <row r="855" s="7" customFormat="1" ht="13.5" customHeight="1"/>
    <row r="856" s="7" customFormat="1" ht="13.5" customHeight="1"/>
    <row r="857" s="7" customFormat="1" ht="13.5" customHeight="1"/>
    <row r="858" s="7" customFormat="1" ht="13.5" customHeight="1"/>
    <row r="859" s="7" customFormat="1" ht="13.5" customHeight="1"/>
    <row r="860" s="7" customFormat="1" ht="13.5" customHeight="1"/>
    <row r="861" s="7" customFormat="1" ht="13.5" customHeight="1"/>
    <row r="862" s="7" customFormat="1" ht="13.5" customHeight="1"/>
    <row r="863" s="7" customFormat="1" ht="13.5" customHeight="1"/>
    <row r="864" s="7" customFormat="1" ht="13.5" customHeight="1"/>
    <row r="865" s="7" customFormat="1" ht="13.5" customHeight="1"/>
    <row r="866" s="7" customFormat="1" ht="13.5" customHeight="1"/>
    <row r="867" s="7" customFormat="1" ht="13.5" customHeight="1"/>
    <row r="868" s="7" customFormat="1" ht="13.5" customHeight="1"/>
    <row r="869" s="7" customFormat="1" ht="13.5" customHeight="1"/>
    <row r="870" s="7" customFormat="1" ht="13.5" customHeight="1"/>
    <row r="871" s="7" customFormat="1" ht="13.5" customHeight="1"/>
    <row r="872" s="7" customFormat="1" ht="13.5" customHeight="1"/>
    <row r="873" s="7" customFormat="1" ht="13.5" customHeight="1"/>
    <row r="874" s="7" customFormat="1" ht="13.5" customHeight="1"/>
    <row r="875" s="7" customFormat="1" ht="13.5" customHeight="1"/>
    <row r="876" s="7" customFormat="1" ht="13.5" customHeight="1"/>
    <row r="877" s="7" customFormat="1" ht="13.5" customHeight="1"/>
    <row r="878" s="7" customFormat="1" ht="13.5" customHeight="1"/>
    <row r="879" s="7" customFormat="1" ht="13.5" customHeight="1"/>
    <row r="880" s="7" customFormat="1" ht="13.5" customHeight="1"/>
    <row r="881" s="7" customFormat="1" ht="13.5" customHeight="1"/>
    <row r="882" s="7" customFormat="1" ht="13.5" customHeight="1"/>
    <row r="883" s="7" customFormat="1" ht="13.5" customHeight="1"/>
    <row r="884" s="7" customFormat="1" ht="13.5" customHeight="1"/>
    <row r="885" s="7" customFormat="1" ht="13.5" customHeight="1"/>
    <row r="886" s="7" customFormat="1" ht="13.5" customHeight="1"/>
    <row r="887" s="7" customFormat="1" ht="13.5" customHeight="1"/>
    <row r="888" s="7" customFormat="1" ht="13.5" customHeight="1"/>
    <row r="889" s="7" customFormat="1" ht="13.5" customHeight="1"/>
    <row r="890" s="7" customFormat="1" ht="13.5" customHeight="1"/>
    <row r="891" s="7" customFormat="1" ht="13.5" customHeight="1"/>
    <row r="892" s="7" customFormat="1" ht="13.5" customHeight="1"/>
    <row r="893" s="7" customFormat="1" ht="13.5" customHeight="1"/>
    <row r="894" s="7" customFormat="1" ht="13.5" customHeight="1"/>
    <row r="895" s="7" customFormat="1" ht="13.5" customHeight="1"/>
    <row r="896" s="7" customFormat="1" ht="13.5" customHeight="1"/>
    <row r="897" s="7" customFormat="1" ht="13.5" customHeight="1"/>
    <row r="898" s="7" customFormat="1" ht="13.5" customHeight="1"/>
    <row r="899" s="7" customFormat="1" ht="13.5" customHeight="1"/>
    <row r="900" s="7" customFormat="1" ht="13.5" customHeight="1"/>
    <row r="901" s="7" customFormat="1" ht="13.5" customHeight="1"/>
    <row r="902" s="7" customFormat="1" ht="13.5" customHeight="1"/>
    <row r="903" s="7" customFormat="1" ht="13.5" customHeight="1"/>
    <row r="904" s="7" customFormat="1" ht="13.5" customHeight="1"/>
    <row r="905" s="7" customFormat="1" ht="13.5" customHeight="1"/>
    <row r="906" s="7" customFormat="1" ht="13.5" customHeight="1"/>
    <row r="907" s="7" customFormat="1" ht="13.5" customHeight="1"/>
    <row r="908" s="7" customFormat="1" ht="13.5" customHeight="1"/>
    <row r="909" s="7" customFormat="1" ht="13.5" customHeight="1"/>
    <row r="910" s="7" customFormat="1" ht="13.5" customHeight="1"/>
    <row r="911" s="7" customFormat="1" ht="13.5" customHeight="1"/>
    <row r="912" s="7" customFormat="1" ht="13.5" customHeight="1"/>
    <row r="913" s="7" customFormat="1" ht="13.5" customHeight="1"/>
    <row r="914" s="7" customFormat="1" ht="13.5" customHeight="1"/>
    <row r="915" s="7" customFormat="1" ht="13.5" customHeight="1"/>
    <row r="916" s="7" customFormat="1" ht="13.5" customHeight="1"/>
    <row r="917" s="7" customFormat="1" ht="13.5" customHeight="1"/>
    <row r="918" s="7" customFormat="1" ht="13.5" customHeight="1"/>
    <row r="919" s="7" customFormat="1" ht="13.5" customHeight="1"/>
    <row r="920" s="7" customFormat="1" ht="13.5" customHeight="1"/>
    <row r="921" s="7" customFormat="1" ht="13.5" customHeight="1"/>
    <row r="922" s="7" customFormat="1" ht="13.5" customHeight="1"/>
    <row r="923" s="7" customFormat="1" ht="13.5" customHeight="1"/>
    <row r="924" s="7" customFormat="1" ht="13.5" customHeight="1"/>
    <row r="925" s="7" customFormat="1" ht="13.5" customHeight="1"/>
    <row r="926" s="7" customFormat="1" ht="13.5" customHeight="1"/>
    <row r="927" s="7" customFormat="1" ht="13.5" customHeight="1"/>
    <row r="928" s="7" customFormat="1" ht="13.5" customHeight="1"/>
    <row r="929" s="7" customFormat="1" ht="13.5" customHeight="1"/>
    <row r="930" s="7" customFormat="1" ht="13.5" customHeight="1"/>
    <row r="931" s="7" customFormat="1" ht="13.5" customHeight="1"/>
    <row r="932" s="7" customFormat="1" ht="13.5" customHeight="1"/>
    <row r="933" s="7" customFormat="1" ht="13.5" customHeight="1"/>
    <row r="934" s="7" customFormat="1" ht="13.5" customHeight="1"/>
    <row r="935" s="7" customFormat="1" ht="13.5" customHeight="1"/>
    <row r="936" s="7" customFormat="1" ht="13.5" customHeight="1"/>
    <row r="937" s="7" customFormat="1" ht="13.5" customHeight="1"/>
    <row r="938" s="7" customFormat="1" ht="13.5" customHeight="1"/>
    <row r="939" s="7" customFormat="1" ht="13.5" customHeight="1"/>
    <row r="940" s="7" customFormat="1" ht="13.5" customHeight="1"/>
    <row r="941" s="7" customFormat="1" ht="13.5" customHeight="1"/>
    <row r="942" s="7" customFormat="1" ht="13.5" customHeight="1"/>
    <row r="943" s="7" customFormat="1" ht="13.5" customHeight="1"/>
    <row r="944" s="7" customFormat="1" ht="13.5" customHeight="1"/>
    <row r="945" s="7" customFormat="1" ht="13.5" customHeight="1"/>
    <row r="946" s="7" customFormat="1" ht="13.5" customHeight="1"/>
    <row r="947" s="7" customFormat="1" ht="13.5" customHeight="1"/>
    <row r="948" s="7" customFormat="1" ht="13.5" customHeight="1"/>
    <row r="949" s="7" customFormat="1" ht="13.5" customHeight="1"/>
    <row r="950" s="7" customFormat="1" ht="13.5" customHeight="1"/>
    <row r="951" s="7" customFormat="1" ht="13.5" customHeight="1"/>
    <row r="952" s="7" customFormat="1" ht="13.5" customHeight="1"/>
    <row r="953" s="7" customFormat="1" ht="13.5" customHeight="1"/>
    <row r="954" s="7" customFormat="1" ht="13.5" customHeight="1"/>
    <row r="955" s="7" customFormat="1" ht="13.5" customHeight="1"/>
    <row r="956" s="7" customFormat="1" ht="13.5" customHeight="1"/>
    <row r="957" s="7" customFormat="1" ht="13.5" customHeight="1"/>
    <row r="958" s="7" customFormat="1" ht="13.5" customHeight="1"/>
    <row r="959" s="7" customFormat="1" ht="13.5" customHeight="1"/>
    <row r="960" s="7" customFormat="1" ht="13.5" customHeight="1"/>
    <row r="961" s="7" customFormat="1" ht="13.5" customHeight="1"/>
    <row r="962" s="7" customFormat="1" ht="13.5" customHeight="1"/>
    <row r="963" s="7" customFormat="1" ht="13.5" customHeight="1"/>
    <row r="964" s="7" customFormat="1" ht="13.5" customHeight="1"/>
    <row r="965" s="7" customFormat="1" ht="13.5" customHeight="1"/>
    <row r="966" s="7" customFormat="1" ht="13.5" customHeight="1"/>
    <row r="967" s="7" customFormat="1" ht="13.5" customHeight="1"/>
    <row r="968" s="7" customFormat="1" ht="13.5" customHeight="1"/>
    <row r="969" s="7" customFormat="1" ht="13.5" customHeight="1"/>
    <row r="970" s="7" customFormat="1" ht="13.5" customHeight="1"/>
    <row r="971" s="7" customFormat="1" ht="13.5" customHeight="1"/>
    <row r="972" s="7" customFormat="1" ht="13.5" customHeight="1"/>
    <row r="973" s="7" customFormat="1" ht="13.5" customHeight="1"/>
    <row r="974" s="7" customFormat="1" ht="13.5" customHeight="1"/>
    <row r="975" s="7" customFormat="1" ht="13.5" customHeight="1"/>
    <row r="976" s="7" customFormat="1" ht="13.5" customHeight="1"/>
    <row r="977" s="7" customFormat="1" ht="13.5" customHeight="1"/>
    <row r="978" s="7" customFormat="1" ht="13.5" customHeight="1"/>
    <row r="979" s="7" customFormat="1" ht="13.5" customHeight="1"/>
    <row r="980" s="7" customFormat="1" ht="13.5" customHeight="1"/>
    <row r="981" s="7" customFormat="1" ht="13.5" customHeight="1"/>
    <row r="982" s="7" customFormat="1" ht="13.5" customHeight="1"/>
    <row r="983" s="7" customFormat="1" ht="13.5" customHeight="1"/>
    <row r="984" s="7" customFormat="1" ht="13.5" customHeight="1"/>
    <row r="985" s="7" customFormat="1" ht="13.5" customHeight="1"/>
    <row r="986" s="7" customFormat="1" ht="13.5" customHeight="1"/>
    <row r="987" s="7" customFormat="1" ht="13.5" customHeight="1"/>
    <row r="988" s="7" customFormat="1" ht="13.5" customHeight="1"/>
    <row r="989" s="7" customFormat="1" ht="13.5" customHeight="1"/>
    <row r="990" s="7" customFormat="1" ht="13.5" customHeight="1"/>
    <row r="991" s="7" customFormat="1" ht="13.5" customHeight="1"/>
    <row r="992" s="7" customFormat="1" ht="13.5" customHeight="1"/>
    <row r="993" s="7" customFormat="1" ht="13.5" customHeight="1"/>
    <row r="994" s="7" customFormat="1" ht="13.5" customHeight="1"/>
    <row r="995" s="7" customFormat="1" ht="13.5" customHeight="1"/>
    <row r="996" s="7" customFormat="1" ht="13.5" customHeight="1"/>
    <row r="997" s="7" customFormat="1" ht="13.5" customHeight="1"/>
    <row r="998" s="7" customFormat="1" ht="13.5" customHeight="1"/>
    <row r="999" s="7" customFormat="1" ht="13.5" customHeight="1"/>
    <row r="1000" s="7" customFormat="1" ht="13.5" customHeight="1"/>
    <row r="1001" s="7" customFormat="1" ht="13.5" customHeight="1"/>
    <row r="1002" s="7" customFormat="1" ht="13.5" customHeight="1"/>
    <row r="1003" s="7" customFormat="1" ht="13.5" customHeight="1"/>
    <row r="1004" s="7" customFormat="1" ht="13.5" customHeight="1"/>
    <row r="1005" s="7" customFormat="1" ht="13.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00"/>
  <sheetViews>
    <sheetView showGridLines="0" topLeftCell="A31" workbookViewId="0">
      <selection activeCell="B41" sqref="B41"/>
    </sheetView>
  </sheetViews>
  <sheetFormatPr defaultColWidth="12.6640625" defaultRowHeight="15" customHeight="1"/>
  <cols>
    <col min="1" max="1" width="8.6640625" style="7" customWidth="1"/>
    <col min="2" max="2" width="36.4140625" style="7" customWidth="1"/>
    <col min="3" max="3" width="11.4140625" style="7" hidden="1" customWidth="1"/>
    <col min="4" max="5" width="14.1640625" style="7" customWidth="1"/>
    <col min="6" max="6" width="16.6640625" style="7" customWidth="1"/>
    <col min="7" max="7" width="12.9140625" style="7" customWidth="1"/>
    <col min="8" max="9" width="10.5" style="7" customWidth="1"/>
    <col min="10" max="13" width="11.6640625" style="7" customWidth="1"/>
    <col min="14" max="14" width="10.6640625" style="7" customWidth="1"/>
    <col min="15" max="16" width="9.4140625" style="7" customWidth="1"/>
    <col min="17" max="27" width="8.6640625" style="7" customWidth="1"/>
    <col min="28" max="16384" width="12.6640625" style="7"/>
  </cols>
  <sheetData>
    <row r="1" spans="1:17" s="373" customFormat="1" ht="13.5" customHeight="1">
      <c r="A1" s="440" t="s">
        <v>276</v>
      </c>
      <c r="B1" s="441"/>
      <c r="C1" s="423"/>
      <c r="D1" s="374"/>
      <c r="E1" s="374"/>
      <c r="F1" s="226"/>
      <c r="G1" s="226"/>
      <c r="H1" s="226"/>
      <c r="K1" s="442"/>
    </row>
    <row r="2" spans="1:17" s="373" customFormat="1" ht="13.5" customHeight="1">
      <c r="A2" s="443"/>
      <c r="B2" s="441"/>
      <c r="C2" s="423"/>
      <c r="D2" s="374"/>
      <c r="E2" s="374"/>
      <c r="F2" s="226"/>
      <c r="G2" s="226"/>
      <c r="H2" s="226"/>
      <c r="I2" s="423"/>
      <c r="J2" s="444" t="s">
        <v>1</v>
      </c>
      <c r="K2" s="442"/>
    </row>
    <row r="3" spans="1:17" ht="13.5" customHeight="1">
      <c r="A3" s="138" t="s">
        <v>277</v>
      </c>
      <c r="B3" s="118"/>
      <c r="C3" s="139">
        <v>2019</v>
      </c>
      <c r="D3" s="139">
        <v>2015</v>
      </c>
      <c r="E3" s="139">
        <v>2016</v>
      </c>
      <c r="F3" s="139">
        <v>2017</v>
      </c>
      <c r="G3" s="139">
        <v>2018</v>
      </c>
      <c r="H3" s="139">
        <v>2019</v>
      </c>
      <c r="I3" s="139">
        <v>2020</v>
      </c>
      <c r="J3" s="139">
        <v>2021</v>
      </c>
      <c r="K3" s="139">
        <v>2022</v>
      </c>
      <c r="L3" s="139">
        <v>2023</v>
      </c>
      <c r="M3" s="139">
        <v>2024</v>
      </c>
      <c r="N3" s="140" t="s">
        <v>472</v>
      </c>
    </row>
    <row r="4" spans="1:17" ht="13.5" customHeight="1">
      <c r="A4" s="137" t="s">
        <v>278</v>
      </c>
      <c r="B4" s="52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2"/>
    </row>
    <row r="5" spans="1:17" ht="13.5" customHeight="1">
      <c r="A5" s="137" t="s">
        <v>279</v>
      </c>
      <c r="B5" s="52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4"/>
      <c r="O5" s="67"/>
      <c r="P5" s="67"/>
      <c r="Q5" s="67"/>
    </row>
    <row r="6" spans="1:17" ht="13.5" customHeight="1">
      <c r="A6" s="52"/>
      <c r="B6" s="145" t="s">
        <v>280</v>
      </c>
      <c r="C6" s="18">
        <v>30745</v>
      </c>
      <c r="D6" s="18">
        <v>22558.54</v>
      </c>
      <c r="E6" s="18">
        <v>30935.11</v>
      </c>
      <c r="F6" s="18">
        <v>23492.55</v>
      </c>
      <c r="G6" s="18">
        <v>27149.15</v>
      </c>
      <c r="H6" s="18">
        <v>30745</v>
      </c>
      <c r="I6" s="18">
        <v>30487</v>
      </c>
      <c r="J6" s="18">
        <v>32033.68</v>
      </c>
      <c r="K6" s="18">
        <v>34882.400000000001</v>
      </c>
      <c r="L6" s="18">
        <v>44749.38</v>
      </c>
      <c r="M6" s="18">
        <v>43248.271097249606</v>
      </c>
      <c r="N6" s="20">
        <v>56024.840955482992</v>
      </c>
      <c r="O6" s="67"/>
      <c r="P6" s="67"/>
    </row>
    <row r="7" spans="1:17" ht="13.5" customHeight="1">
      <c r="A7" s="52"/>
      <c r="B7" s="145" t="s">
        <v>281</v>
      </c>
      <c r="C7" s="18">
        <v>63681.49</v>
      </c>
      <c r="D7" s="18">
        <v>79016.83</v>
      </c>
      <c r="E7" s="18">
        <v>94413.95</v>
      </c>
      <c r="F7" s="18">
        <v>46903.42</v>
      </c>
      <c r="G7" s="18">
        <v>48342.19</v>
      </c>
      <c r="H7" s="18">
        <v>63681.49</v>
      </c>
      <c r="I7" s="18">
        <v>76115</v>
      </c>
      <c r="J7" s="18">
        <v>87244.22</v>
      </c>
      <c r="K7" s="18">
        <v>83588.070000000007</v>
      </c>
      <c r="L7" s="18">
        <v>99116.85</v>
      </c>
      <c r="M7" s="18">
        <v>80500.028002130581</v>
      </c>
      <c r="N7" s="20">
        <v>88876.50109449953</v>
      </c>
      <c r="O7" s="67"/>
      <c r="P7" s="67"/>
      <c r="Q7" s="67"/>
    </row>
    <row r="8" spans="1:17" ht="13.5" customHeight="1">
      <c r="A8" s="52"/>
      <c r="B8" s="145" t="s">
        <v>282</v>
      </c>
      <c r="C8" s="18">
        <v>72567.94</v>
      </c>
      <c r="D8" s="18">
        <v>59032.26</v>
      </c>
      <c r="E8" s="18">
        <v>59371.47</v>
      </c>
      <c r="F8" s="18">
        <v>63262.080000000002</v>
      </c>
      <c r="G8" s="18">
        <v>60803.040000000001</v>
      </c>
      <c r="H8" s="18">
        <v>72567.94</v>
      </c>
      <c r="I8" s="18">
        <v>79719</v>
      </c>
      <c r="J8" s="18">
        <v>91869.79</v>
      </c>
      <c r="K8" s="18">
        <v>90097.68</v>
      </c>
      <c r="L8" s="18">
        <v>109722.16</v>
      </c>
      <c r="M8" s="18">
        <v>96691.513131340369</v>
      </c>
      <c r="N8" s="20">
        <v>101369.62778442525</v>
      </c>
      <c r="O8" s="67"/>
      <c r="P8" s="67"/>
      <c r="Q8" s="67"/>
    </row>
    <row r="9" spans="1:17" ht="13.5" customHeight="1">
      <c r="A9" s="52"/>
      <c r="B9" s="145" t="s">
        <v>283</v>
      </c>
      <c r="C9" s="18">
        <v>2089.2800000000002</v>
      </c>
      <c r="D9" s="18">
        <v>4461.92</v>
      </c>
      <c r="E9" s="18">
        <v>4035.13</v>
      </c>
      <c r="F9" s="18">
        <v>3497.23</v>
      </c>
      <c r="G9" s="18">
        <v>2672.67</v>
      </c>
      <c r="H9" s="18">
        <v>2089.2800000000002</v>
      </c>
      <c r="I9" s="18">
        <v>1580</v>
      </c>
      <c r="J9" s="18">
        <v>1417.57</v>
      </c>
      <c r="K9" s="18">
        <v>1259.07</v>
      </c>
      <c r="L9" s="18">
        <v>1198.68</v>
      </c>
      <c r="M9" s="18">
        <v>40207.021396813674</v>
      </c>
      <c r="N9" s="20">
        <v>23968.931807628484</v>
      </c>
    </row>
    <row r="10" spans="1:17" ht="13.5" customHeight="1">
      <c r="A10" s="52"/>
      <c r="B10" s="145" t="s">
        <v>284</v>
      </c>
      <c r="C10" s="18">
        <v>343.19</v>
      </c>
      <c r="D10" s="18">
        <v>1960.29</v>
      </c>
      <c r="E10" s="18">
        <v>2349.9899999999998</v>
      </c>
      <c r="F10" s="18">
        <v>1752.72</v>
      </c>
      <c r="G10" s="18">
        <v>983.02</v>
      </c>
      <c r="H10" s="18">
        <v>343.19</v>
      </c>
      <c r="I10" s="18">
        <v>55</v>
      </c>
      <c r="J10" s="18">
        <v>0</v>
      </c>
      <c r="K10" s="18">
        <v>0</v>
      </c>
      <c r="L10" s="18">
        <v>0</v>
      </c>
      <c r="M10" s="18"/>
      <c r="N10" s="20"/>
    </row>
    <row r="11" spans="1:17" ht="13.5" customHeight="1">
      <c r="A11" s="52"/>
      <c r="B11" s="145" t="s">
        <v>285</v>
      </c>
      <c r="C11" s="18">
        <v>874.88</v>
      </c>
      <c r="D11" s="18">
        <v>1437.14</v>
      </c>
      <c r="E11" s="18">
        <v>1540.67</v>
      </c>
      <c r="F11" s="18">
        <v>1355.76</v>
      </c>
      <c r="G11" s="18">
        <v>1049.23</v>
      </c>
      <c r="H11" s="18">
        <v>874.88</v>
      </c>
      <c r="I11" s="18">
        <v>604</v>
      </c>
      <c r="J11" s="18">
        <v>473.19</v>
      </c>
      <c r="K11" s="18">
        <v>456.93</v>
      </c>
      <c r="L11" s="18">
        <v>431.48</v>
      </c>
      <c r="M11" s="18">
        <v>255.39329160000003</v>
      </c>
      <c r="N11" s="20">
        <v>130.10522112000001</v>
      </c>
    </row>
    <row r="12" spans="1:17" ht="13.5" customHeight="1">
      <c r="A12" s="52"/>
      <c r="B12" s="145" t="s">
        <v>286</v>
      </c>
      <c r="C12" s="18">
        <v>1796.41</v>
      </c>
      <c r="D12" s="18">
        <v>71.430000000000007</v>
      </c>
      <c r="E12" s="18">
        <v>269.38</v>
      </c>
      <c r="F12" s="18">
        <v>1711.78</v>
      </c>
      <c r="G12" s="18">
        <v>1642.15</v>
      </c>
      <c r="H12" s="18">
        <v>1796.41</v>
      </c>
      <c r="I12" s="18">
        <v>1427</v>
      </c>
      <c r="J12" s="18">
        <v>1220.08</v>
      </c>
      <c r="K12" s="18">
        <v>884.11</v>
      </c>
      <c r="L12" s="18">
        <v>727.04</v>
      </c>
      <c r="M12" s="18">
        <v>329.97876314999996</v>
      </c>
      <c r="N12" s="20">
        <v>0</v>
      </c>
    </row>
    <row r="13" spans="1:17" ht="13.5" customHeight="1">
      <c r="A13" s="52"/>
      <c r="B13" s="145" t="s">
        <v>287</v>
      </c>
      <c r="C13" s="18">
        <v>661058.54</v>
      </c>
      <c r="D13" s="18">
        <v>252039.33</v>
      </c>
      <c r="E13" s="18">
        <v>313127.34000000003</v>
      </c>
      <c r="F13" s="18">
        <v>489452.3</v>
      </c>
      <c r="G13" s="18">
        <v>560534.48</v>
      </c>
      <c r="H13" s="18">
        <v>661058.54</v>
      </c>
      <c r="I13" s="18">
        <v>719359</v>
      </c>
      <c r="J13" s="18">
        <v>761089.12</v>
      </c>
      <c r="K13" s="18">
        <v>804807.09</v>
      </c>
      <c r="L13" s="18">
        <v>882541.68</v>
      </c>
      <c r="M13" s="18">
        <v>737911.58180510881</v>
      </c>
      <c r="N13" s="20">
        <v>653107.85370033013</v>
      </c>
    </row>
    <row r="14" spans="1:17" ht="13.5" customHeight="1">
      <c r="A14" s="52"/>
      <c r="B14" s="145" t="s">
        <v>288</v>
      </c>
      <c r="C14" s="18">
        <v>11590.96</v>
      </c>
      <c r="D14" s="18">
        <v>6141.68</v>
      </c>
      <c r="E14" s="18">
        <v>7468.84</v>
      </c>
      <c r="F14" s="18">
        <v>9938.02</v>
      </c>
      <c r="G14" s="18">
        <v>10198.56</v>
      </c>
      <c r="H14" s="18">
        <v>11590.96</v>
      </c>
      <c r="I14" s="18">
        <v>11975</v>
      </c>
      <c r="J14" s="18">
        <v>12684.02</v>
      </c>
      <c r="K14" s="18">
        <v>12938.85</v>
      </c>
      <c r="L14" s="18">
        <v>25596.95</v>
      </c>
      <c r="M14" s="18">
        <v>23038.879941359999</v>
      </c>
      <c r="N14" s="20">
        <v>25442.268183782999</v>
      </c>
    </row>
    <row r="15" spans="1:17" ht="13.5" customHeight="1">
      <c r="A15" s="52"/>
      <c r="B15" s="145" t="s">
        <v>289</v>
      </c>
      <c r="C15" s="146">
        <v>73232.13</v>
      </c>
      <c r="D15" s="146">
        <v>18337.23</v>
      </c>
      <c r="E15" s="146">
        <v>34838.82</v>
      </c>
      <c r="F15" s="146">
        <v>28467.83</v>
      </c>
      <c r="G15" s="146">
        <v>45642.22</v>
      </c>
      <c r="H15" s="146">
        <v>73232.13</v>
      </c>
      <c r="I15" s="146">
        <v>72374</v>
      </c>
      <c r="J15" s="146">
        <v>76240.479999999996</v>
      </c>
      <c r="K15" s="146">
        <v>76822.929999999993</v>
      </c>
      <c r="L15" s="146">
        <v>93413.3</v>
      </c>
      <c r="M15" s="146">
        <v>70506.50569541</v>
      </c>
      <c r="N15" s="147">
        <v>83562.120964743852</v>
      </c>
    </row>
    <row r="16" spans="1:17" ht="13.5" customHeight="1">
      <c r="A16" s="69"/>
      <c r="B16" s="148" t="s">
        <v>290</v>
      </c>
      <c r="C16" s="149">
        <v>917979.82</v>
      </c>
      <c r="D16" s="149">
        <v>445056.63</v>
      </c>
      <c r="E16" s="149">
        <v>548350.68999999994</v>
      </c>
      <c r="F16" s="149">
        <v>669833.68999999994</v>
      </c>
      <c r="G16" s="149">
        <v>759016.71</v>
      </c>
      <c r="H16" s="149">
        <v>917979.82</v>
      </c>
      <c r="I16" s="149">
        <v>993695</v>
      </c>
      <c r="J16" s="149">
        <v>1064272.1499999999</v>
      </c>
      <c r="K16" s="149">
        <v>1105737.1299999999</v>
      </c>
      <c r="L16" s="149">
        <v>1257497.52</v>
      </c>
      <c r="M16" s="149">
        <v>1092689.1731241629</v>
      </c>
      <c r="N16" s="150">
        <v>1032482.24971201</v>
      </c>
    </row>
    <row r="17" spans="1:16" ht="13.5" customHeight="1">
      <c r="A17" s="151" t="s">
        <v>291</v>
      </c>
      <c r="B17" s="152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6"/>
    </row>
    <row r="18" spans="1:16" ht="13.5" customHeight="1">
      <c r="A18" s="52"/>
      <c r="B18" s="35" t="s">
        <v>292</v>
      </c>
      <c r="C18" s="18">
        <v>604385.57905765926</v>
      </c>
      <c r="D18" s="18">
        <v>418596.27</v>
      </c>
      <c r="E18" s="18">
        <v>504490.39</v>
      </c>
      <c r="F18" s="18">
        <v>535847.73</v>
      </c>
      <c r="G18" s="18">
        <v>520307.49</v>
      </c>
      <c r="H18" s="18">
        <v>604385.57999999996</v>
      </c>
      <c r="I18" s="18">
        <v>889916</v>
      </c>
      <c r="J18" s="18">
        <v>1094316.26</v>
      </c>
      <c r="K18" s="18">
        <v>1233714.03</v>
      </c>
      <c r="L18" s="18">
        <v>1605459.5</v>
      </c>
      <c r="M18" s="18">
        <v>1568367.3949951404</v>
      </c>
      <c r="N18" s="20">
        <v>1703496.8211572801</v>
      </c>
    </row>
    <row r="19" spans="1:16" ht="13.5" customHeight="1">
      <c r="A19" s="52"/>
      <c r="B19" s="35" t="s">
        <v>293</v>
      </c>
      <c r="C19" s="18">
        <v>17240.617258814978</v>
      </c>
      <c r="D19" s="18">
        <v>20624.97</v>
      </c>
      <c r="E19" s="18">
        <v>21073.19</v>
      </c>
      <c r="F19" s="18">
        <v>20399.5</v>
      </c>
      <c r="G19" s="18">
        <v>19544.23</v>
      </c>
      <c r="H19" s="18">
        <v>17240.62</v>
      </c>
      <c r="I19" s="18">
        <v>16796</v>
      </c>
      <c r="J19" s="18">
        <v>23228.55</v>
      </c>
      <c r="K19" s="18">
        <v>20752.09</v>
      </c>
      <c r="L19" s="18">
        <v>29162.799999999999</v>
      </c>
      <c r="M19" s="18">
        <v>916.73407595000003</v>
      </c>
      <c r="N19" s="20">
        <v>800.45390534850003</v>
      </c>
    </row>
    <row r="20" spans="1:16" ht="13.5" customHeight="1">
      <c r="A20" s="52"/>
      <c r="B20" s="35" t="s">
        <v>294</v>
      </c>
      <c r="C20" s="18">
        <v>49208.153323213926</v>
      </c>
      <c r="D20" s="18">
        <v>86149.9</v>
      </c>
      <c r="E20" s="18">
        <v>84847</v>
      </c>
      <c r="F20" s="18">
        <v>77637.37</v>
      </c>
      <c r="G20" s="18">
        <v>71588.41</v>
      </c>
      <c r="H20" s="18">
        <v>49208.15</v>
      </c>
      <c r="I20" s="18">
        <v>110605</v>
      </c>
      <c r="J20" s="18">
        <v>178215.2</v>
      </c>
      <c r="K20" s="18">
        <v>206371.14</v>
      </c>
      <c r="L20" s="18">
        <v>335592.95</v>
      </c>
      <c r="M20" s="18">
        <v>421186.09099504998</v>
      </c>
      <c r="N20" s="20">
        <v>478797.69520025118</v>
      </c>
    </row>
    <row r="21" spans="1:16" ht="13.5" customHeight="1">
      <c r="A21" s="52"/>
      <c r="B21" s="35" t="s">
        <v>295</v>
      </c>
      <c r="C21" s="18">
        <v>229638.3950219854</v>
      </c>
      <c r="D21" s="18">
        <v>150229.35</v>
      </c>
      <c r="E21" s="18">
        <v>179226.58</v>
      </c>
      <c r="F21" s="18">
        <v>197490.09</v>
      </c>
      <c r="G21" s="18">
        <v>204706.87</v>
      </c>
      <c r="H21" s="18">
        <v>229638.39999999999</v>
      </c>
      <c r="I21" s="18">
        <v>263749</v>
      </c>
      <c r="J21" s="18">
        <v>322293.12</v>
      </c>
      <c r="K21" s="18">
        <v>385291.1</v>
      </c>
      <c r="L21" s="18">
        <v>517899.51</v>
      </c>
      <c r="M21" s="18">
        <v>508500.47458878986</v>
      </c>
      <c r="N21" s="20">
        <v>550235.25069192343</v>
      </c>
    </row>
    <row r="22" spans="1:16" ht="13.5" customHeight="1">
      <c r="A22" s="52"/>
      <c r="B22" s="35" t="s">
        <v>296</v>
      </c>
      <c r="C22" s="18">
        <v>9318.641557339668</v>
      </c>
      <c r="D22" s="18">
        <v>9030.2199999999993</v>
      </c>
      <c r="E22" s="18">
        <v>9204.4</v>
      </c>
      <c r="F22" s="18">
        <v>8347.06</v>
      </c>
      <c r="G22" s="18">
        <v>9151.67</v>
      </c>
      <c r="H22" s="18">
        <v>9318.64</v>
      </c>
      <c r="I22" s="18">
        <v>35769</v>
      </c>
      <c r="J22" s="18">
        <v>41358.18</v>
      </c>
      <c r="K22" s="18">
        <v>77315.8</v>
      </c>
      <c r="L22" s="18">
        <v>166819.5</v>
      </c>
      <c r="M22" s="18">
        <v>287977.75611093</v>
      </c>
      <c r="N22" s="20">
        <v>312060.77690349682</v>
      </c>
    </row>
    <row r="23" spans="1:16" ht="13.5" customHeight="1">
      <c r="A23" s="69"/>
      <c r="B23" s="148" t="s">
        <v>297</v>
      </c>
      <c r="C23" s="153">
        <v>909791.38621901325</v>
      </c>
      <c r="D23" s="153">
        <v>684630.72</v>
      </c>
      <c r="E23" s="153">
        <v>798841.56</v>
      </c>
      <c r="F23" s="153">
        <v>839721.75</v>
      </c>
      <c r="G23" s="153">
        <v>825298.67</v>
      </c>
      <c r="H23" s="153">
        <v>909791.39</v>
      </c>
      <c r="I23" s="153">
        <v>1316835</v>
      </c>
      <c r="J23" s="153">
        <v>1659411.31</v>
      </c>
      <c r="K23" s="153">
        <v>1923444.16</v>
      </c>
      <c r="L23" s="153">
        <v>2654934.2599999998</v>
      </c>
      <c r="M23" s="153">
        <v>2786948.4507658603</v>
      </c>
      <c r="N23" s="150">
        <v>3045390.9978582999</v>
      </c>
      <c r="O23" s="154"/>
      <c r="P23" s="155"/>
    </row>
    <row r="24" spans="1:16" ht="13.5" customHeight="1">
      <c r="A24" s="38" t="s">
        <v>298</v>
      </c>
      <c r="B24" s="40"/>
      <c r="C24" s="18">
        <v>395010.25</v>
      </c>
      <c r="D24" s="18">
        <v>5678.32</v>
      </c>
      <c r="E24" s="18">
        <v>154346.23000000001</v>
      </c>
      <c r="F24" s="18">
        <v>348901.68</v>
      </c>
      <c r="G24" s="18">
        <v>350664.64</v>
      </c>
      <c r="H24" s="18">
        <v>395010.25</v>
      </c>
      <c r="I24" s="18">
        <v>372615</v>
      </c>
      <c r="J24" s="18">
        <v>340031.27</v>
      </c>
      <c r="K24" s="18">
        <v>276645.8</v>
      </c>
      <c r="L24" s="18">
        <v>351335.14</v>
      </c>
      <c r="M24" s="18">
        <v>323486.03860376996</v>
      </c>
      <c r="N24" s="20">
        <v>289901.41990225913</v>
      </c>
    </row>
    <row r="25" spans="1:16" ht="13.5" customHeight="1">
      <c r="A25" s="38" t="s">
        <v>299</v>
      </c>
      <c r="B25" s="40"/>
      <c r="C25" s="18">
        <v>624019.63</v>
      </c>
      <c r="D25" s="18">
        <v>271258.34999999998</v>
      </c>
      <c r="E25" s="18">
        <v>278031.05</v>
      </c>
      <c r="F25" s="18">
        <v>285207.18</v>
      </c>
      <c r="G25" s="18">
        <v>479987.5</v>
      </c>
      <c r="H25" s="18">
        <v>624019.63</v>
      </c>
      <c r="I25" s="18">
        <v>649787</v>
      </c>
      <c r="J25" s="18">
        <v>766445</v>
      </c>
      <c r="K25" s="18">
        <v>836610.04</v>
      </c>
      <c r="L25" s="18">
        <v>997716.85</v>
      </c>
      <c r="M25" s="18">
        <v>854878.2</v>
      </c>
      <c r="N25" s="20">
        <v>1022700.802422</v>
      </c>
    </row>
    <row r="26" spans="1:16" ht="13.5" customHeight="1">
      <c r="A26" s="38" t="s">
        <v>300</v>
      </c>
      <c r="B26" s="40"/>
      <c r="C26" s="146">
        <v>16931.810000000001</v>
      </c>
      <c r="D26" s="146">
        <v>16628.21</v>
      </c>
      <c r="E26" s="146">
        <v>16628</v>
      </c>
      <c r="F26" s="146">
        <v>15303.14</v>
      </c>
      <c r="G26" s="146">
        <v>16725.2</v>
      </c>
      <c r="H26" s="146">
        <v>16931.810000000001</v>
      </c>
      <c r="I26" s="146">
        <v>17631</v>
      </c>
      <c r="J26" s="146">
        <v>12162.09</v>
      </c>
      <c r="K26" s="146">
        <v>12153.78</v>
      </c>
      <c r="L26" s="146">
        <v>14848.21</v>
      </c>
      <c r="M26" s="146">
        <v>13536.831483700002</v>
      </c>
      <c r="N26" s="147">
        <v>14419.139176950001</v>
      </c>
    </row>
    <row r="27" spans="1:16" ht="13.5" customHeight="1">
      <c r="A27" s="156"/>
      <c r="B27" s="157" t="s">
        <v>301</v>
      </c>
      <c r="C27" s="153">
        <v>2863732.8962190133</v>
      </c>
      <c r="D27" s="153">
        <v>1423252.24</v>
      </c>
      <c r="E27" s="153">
        <v>1796197.52</v>
      </c>
      <c r="F27" s="153">
        <v>2158967.44</v>
      </c>
      <c r="G27" s="153">
        <v>2431692.7200000002</v>
      </c>
      <c r="H27" s="153">
        <v>2863732.9</v>
      </c>
      <c r="I27" s="153">
        <v>3350563</v>
      </c>
      <c r="J27" s="153">
        <v>3842321.82</v>
      </c>
      <c r="K27" s="153">
        <v>4154590.92</v>
      </c>
      <c r="L27" s="153">
        <v>5276331.9800000004</v>
      </c>
      <c r="M27" s="153">
        <v>5071538.6939774938</v>
      </c>
      <c r="N27" s="150">
        <v>5404894.609071522</v>
      </c>
      <c r="O27" s="154"/>
      <c r="P27" s="155"/>
    </row>
    <row r="28" spans="1:16" ht="13.5" customHeight="1">
      <c r="A28" s="137" t="s">
        <v>302</v>
      </c>
      <c r="B28" s="52"/>
      <c r="C28" s="158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60"/>
    </row>
    <row r="29" spans="1:16" ht="13.5" customHeight="1">
      <c r="A29" s="52"/>
      <c r="B29" s="161" t="s">
        <v>473</v>
      </c>
      <c r="C29" s="162">
        <v>954250</v>
      </c>
      <c r="D29" s="163">
        <v>318928.15000000002</v>
      </c>
      <c r="E29" s="163">
        <v>587478.69999999995</v>
      </c>
      <c r="F29" s="163">
        <v>744155</v>
      </c>
      <c r="G29" s="163">
        <v>878622</v>
      </c>
      <c r="H29" s="163">
        <v>954250</v>
      </c>
      <c r="I29" s="163">
        <v>887142</v>
      </c>
      <c r="J29" s="163">
        <v>765375</v>
      </c>
      <c r="K29" s="163">
        <v>628754</v>
      </c>
      <c r="L29" s="163">
        <v>614726.19999999995</v>
      </c>
      <c r="M29" s="163">
        <v>615890</v>
      </c>
      <c r="N29" s="164">
        <v>1036875</v>
      </c>
    </row>
    <row r="30" spans="1:16" ht="13.5" customHeight="1">
      <c r="A30" s="52"/>
      <c r="B30" s="161" t="s">
        <v>303</v>
      </c>
      <c r="C30" s="43">
        <v>1748150</v>
      </c>
      <c r="D30" s="163">
        <v>1035706.68</v>
      </c>
      <c r="E30" s="163">
        <v>1152041.17</v>
      </c>
      <c r="F30" s="163">
        <v>1332001.27</v>
      </c>
      <c r="G30" s="163">
        <v>1511872</v>
      </c>
      <c r="H30" s="163">
        <v>1748150</v>
      </c>
      <c r="I30" s="163">
        <v>2219444</v>
      </c>
      <c r="J30" s="163">
        <v>2849936</v>
      </c>
      <c r="K30" s="163">
        <v>3569092</v>
      </c>
      <c r="L30" s="163">
        <v>4013890.65</v>
      </c>
      <c r="M30" s="163">
        <v>4627123</v>
      </c>
      <c r="N30" s="164">
        <v>5110010</v>
      </c>
    </row>
    <row r="31" spans="1:16" ht="13.5" customHeight="1">
      <c r="A31" s="52"/>
      <c r="B31" s="161" t="s">
        <v>474</v>
      </c>
      <c r="C31" s="43">
        <v>22229</v>
      </c>
      <c r="D31" s="163">
        <v>26615</v>
      </c>
      <c r="E31" s="163">
        <v>25559</v>
      </c>
      <c r="F31" s="163">
        <v>24448.76</v>
      </c>
      <c r="G31" s="163">
        <v>23894</v>
      </c>
      <c r="H31" s="163">
        <v>22229</v>
      </c>
      <c r="I31" s="163">
        <v>21674</v>
      </c>
      <c r="J31" s="163">
        <v>20009</v>
      </c>
      <c r="K31" s="163">
        <v>59639.77</v>
      </c>
      <c r="L31" s="163">
        <v>113304.31</v>
      </c>
      <c r="M31" s="163">
        <v>17234</v>
      </c>
      <c r="N31" s="164">
        <v>16124</v>
      </c>
    </row>
    <row r="32" spans="1:16" ht="13.5" customHeight="1">
      <c r="A32" s="52"/>
      <c r="B32" s="161" t="s">
        <v>304</v>
      </c>
      <c r="C32" s="43">
        <v>60854</v>
      </c>
      <c r="D32" s="163">
        <v>39194.54</v>
      </c>
      <c r="E32" s="163">
        <v>50391.63</v>
      </c>
      <c r="F32" s="163">
        <v>11131.7</v>
      </c>
      <c r="G32" s="163">
        <v>64447</v>
      </c>
      <c r="H32" s="163">
        <v>60854</v>
      </c>
      <c r="I32" s="163">
        <v>49267</v>
      </c>
      <c r="J32" s="163">
        <v>61774</v>
      </c>
      <c r="K32" s="163">
        <v>71588</v>
      </c>
      <c r="L32" s="163">
        <v>90191.92</v>
      </c>
      <c r="M32" s="163">
        <v>148505</v>
      </c>
      <c r="N32" s="164">
        <v>163001</v>
      </c>
    </row>
    <row r="33" spans="1:16" ht="13.5" customHeight="1">
      <c r="A33" s="52"/>
      <c r="B33" s="165" t="s">
        <v>475</v>
      </c>
      <c r="C33" s="166">
        <v>-507429</v>
      </c>
      <c r="D33" s="167">
        <v>-242264.49</v>
      </c>
      <c r="E33" s="167">
        <v>-408389</v>
      </c>
      <c r="F33" s="167">
        <v>-255433.63</v>
      </c>
      <c r="G33" s="167">
        <v>-550776</v>
      </c>
      <c r="H33" s="167">
        <v>-507429</v>
      </c>
      <c r="I33" s="167">
        <v>-503310</v>
      </c>
      <c r="J33" s="167">
        <v>-556430</v>
      </c>
      <c r="K33" s="167">
        <v>-418157</v>
      </c>
      <c r="L33" s="167">
        <v>-484584</v>
      </c>
      <c r="M33" s="167">
        <v>-526226.04390235408</v>
      </c>
      <c r="N33" s="168">
        <v>-337314.66713000002</v>
      </c>
    </row>
    <row r="34" spans="1:16" ht="13.5" customHeight="1">
      <c r="A34" s="69"/>
      <c r="B34" s="137" t="s">
        <v>305</v>
      </c>
      <c r="C34" s="153">
        <v>2278054</v>
      </c>
      <c r="D34" s="153">
        <v>1178179.8899999999</v>
      </c>
      <c r="E34" s="153">
        <v>1407081.5</v>
      </c>
      <c r="F34" s="153">
        <v>1856303.1</v>
      </c>
      <c r="G34" s="153">
        <v>1928059</v>
      </c>
      <c r="H34" s="153">
        <v>2278054</v>
      </c>
      <c r="I34" s="153">
        <v>2674217</v>
      </c>
      <c r="J34" s="153">
        <v>3140664</v>
      </c>
      <c r="K34" s="153">
        <v>3910916.77</v>
      </c>
      <c r="L34" s="153">
        <v>4347529.08</v>
      </c>
      <c r="M34" s="153">
        <v>4882525.9560976457</v>
      </c>
      <c r="N34" s="150">
        <v>5988695.33287</v>
      </c>
      <c r="O34" s="154"/>
      <c r="P34" s="155"/>
    </row>
    <row r="35" spans="1:16" ht="13.5" customHeight="1">
      <c r="A35" s="169" t="s">
        <v>476</v>
      </c>
      <c r="B35" s="170"/>
      <c r="C35" s="171">
        <v>5141786.8962190133</v>
      </c>
      <c r="D35" s="153">
        <v>2601432.13</v>
      </c>
      <c r="E35" s="153">
        <v>3203279.02</v>
      </c>
      <c r="F35" s="153">
        <v>4015270.53</v>
      </c>
      <c r="G35" s="153">
        <v>4359751.72</v>
      </c>
      <c r="H35" s="153">
        <v>5141786.9000000004</v>
      </c>
      <c r="I35" s="153">
        <v>6024780</v>
      </c>
      <c r="J35" s="153">
        <v>6982985.8200000003</v>
      </c>
      <c r="K35" s="153">
        <v>8065507.6900000004</v>
      </c>
      <c r="L35" s="153">
        <v>9623861.0600000005</v>
      </c>
      <c r="M35" s="153">
        <v>9954064.6500751395</v>
      </c>
      <c r="N35" s="150">
        <v>11393589.941941522</v>
      </c>
    </row>
    <row r="36" spans="1:16" ht="13.5" customHeight="1">
      <c r="A36" s="172" t="s">
        <v>306</v>
      </c>
      <c r="B36" s="173"/>
      <c r="C36" s="153"/>
      <c r="N36" s="174"/>
    </row>
    <row r="37" spans="1:16" ht="13.5" customHeight="1">
      <c r="A37" s="172" t="s">
        <v>307</v>
      </c>
      <c r="B37" s="173"/>
      <c r="C37" s="153">
        <v>159406</v>
      </c>
      <c r="D37" s="153"/>
      <c r="E37" s="153"/>
      <c r="F37" s="153"/>
      <c r="G37" s="153">
        <v>157220</v>
      </c>
      <c r="H37" s="153">
        <v>151244</v>
      </c>
      <c r="I37" s="153">
        <v>170229</v>
      </c>
      <c r="J37" s="153">
        <v>100165.02</v>
      </c>
      <c r="K37" s="153"/>
      <c r="L37" s="153"/>
      <c r="M37" s="153">
        <v>100165.0247676674</v>
      </c>
      <c r="N37" s="150">
        <v>83240.665429652072</v>
      </c>
    </row>
    <row r="38" spans="1:16" s="388" customFormat="1" ht="13.5" customHeight="1">
      <c r="A38" s="445" t="s">
        <v>308</v>
      </c>
      <c r="B38" s="445"/>
      <c r="C38" s="329"/>
      <c r="D38" s="329"/>
      <c r="E38" s="329"/>
      <c r="F38" s="329"/>
      <c r="G38" s="329"/>
      <c r="H38" s="446"/>
    </row>
    <row r="39" spans="1:16" s="379" customFormat="1" ht="13.5" customHeight="1">
      <c r="A39" s="439" t="s">
        <v>29</v>
      </c>
      <c r="B39" s="439"/>
      <c r="C39" s="447"/>
      <c r="D39" s="6"/>
      <c r="E39" s="405"/>
      <c r="F39" s="405"/>
      <c r="G39" s="405"/>
      <c r="H39" s="446"/>
    </row>
    <row r="40" spans="1:16" s="379" customFormat="1" ht="13.5" customHeight="1">
      <c r="A40" s="439" t="s">
        <v>501</v>
      </c>
      <c r="B40" s="439"/>
      <c r="C40" s="405"/>
      <c r="D40" s="405"/>
      <c r="E40" s="6"/>
      <c r="F40" s="6"/>
      <c r="G40" s="6"/>
      <c r="H40" s="446"/>
    </row>
    <row r="41" spans="1:16" s="379" customFormat="1" ht="13.5" customHeight="1">
      <c r="A41" s="439" t="s">
        <v>502</v>
      </c>
      <c r="B41" s="439"/>
      <c r="C41" s="448"/>
      <c r="D41" s="6"/>
      <c r="E41" s="6"/>
      <c r="F41" s="6"/>
      <c r="G41" s="6"/>
      <c r="H41" s="446"/>
    </row>
    <row r="42" spans="1:16" s="379" customFormat="1" ht="13.5" customHeight="1">
      <c r="A42" s="439" t="s">
        <v>503</v>
      </c>
      <c r="B42" s="439"/>
      <c r="C42" s="447"/>
      <c r="D42" s="6"/>
      <c r="E42" s="6"/>
      <c r="F42" s="6"/>
      <c r="G42" s="6"/>
      <c r="H42" s="446"/>
    </row>
    <row r="43" spans="1:16" s="379" customFormat="1" ht="13.5" customHeight="1">
      <c r="A43" s="390" t="s">
        <v>309</v>
      </c>
      <c r="B43" s="6"/>
      <c r="C43" s="6"/>
      <c r="D43" s="6"/>
      <c r="E43" s="6"/>
      <c r="F43" s="6"/>
      <c r="G43" s="6"/>
      <c r="H43" s="446"/>
    </row>
    <row r="44" spans="1:16" ht="13.5" customHeight="1">
      <c r="H44" s="175"/>
    </row>
    <row r="45" spans="1:16" ht="13.5" customHeight="1">
      <c r="H45" s="175"/>
    </row>
    <row r="46" spans="1:16" ht="13.5" customHeight="1">
      <c r="H46" s="175"/>
    </row>
    <row r="47" spans="1:16" ht="13.5" customHeight="1">
      <c r="H47" s="175"/>
    </row>
    <row r="48" spans="1:16" ht="13.5" customHeight="1">
      <c r="H48" s="175"/>
    </row>
    <row r="49" spans="8:8" ht="13.5" customHeight="1">
      <c r="H49" s="175"/>
    </row>
    <row r="50" spans="8:8" ht="13.5" customHeight="1">
      <c r="H50" s="175"/>
    </row>
    <row r="51" spans="8:8" ht="13.5" customHeight="1">
      <c r="H51" s="175"/>
    </row>
    <row r="52" spans="8:8" ht="13.5" customHeight="1">
      <c r="H52" s="175"/>
    </row>
    <row r="53" spans="8:8" ht="13.5" customHeight="1">
      <c r="H53" s="175"/>
    </row>
    <row r="54" spans="8:8" ht="13.5" customHeight="1">
      <c r="H54" s="175"/>
    </row>
    <row r="55" spans="8:8" ht="13.5" customHeight="1">
      <c r="H55" s="175"/>
    </row>
    <row r="56" spans="8:8" ht="13.5" customHeight="1">
      <c r="H56" s="175"/>
    </row>
    <row r="57" spans="8:8" ht="13.5" customHeight="1">
      <c r="H57" s="175"/>
    </row>
    <row r="58" spans="8:8" ht="13.5" customHeight="1">
      <c r="H58" s="175"/>
    </row>
    <row r="59" spans="8:8" ht="13.5" customHeight="1">
      <c r="H59" s="175"/>
    </row>
    <row r="60" spans="8:8" ht="13.5" customHeight="1">
      <c r="H60" s="175"/>
    </row>
    <row r="61" spans="8:8" ht="13.5" customHeight="1">
      <c r="H61" s="175"/>
    </row>
    <row r="62" spans="8:8" ht="13.5" customHeight="1">
      <c r="H62" s="175"/>
    </row>
    <row r="63" spans="8:8" ht="13.5" customHeight="1">
      <c r="H63" s="175"/>
    </row>
    <row r="64" spans="8:8" ht="13.5" customHeight="1">
      <c r="H64" s="175"/>
    </row>
    <row r="65" spans="8:8" ht="13.5" customHeight="1">
      <c r="H65" s="175"/>
    </row>
    <row r="66" spans="8:8" ht="13.5" customHeight="1">
      <c r="H66" s="175"/>
    </row>
    <row r="67" spans="8:8" ht="13.5" customHeight="1">
      <c r="H67" s="175"/>
    </row>
    <row r="68" spans="8:8" ht="13.5" customHeight="1">
      <c r="H68" s="175"/>
    </row>
    <row r="69" spans="8:8" ht="13.5" customHeight="1">
      <c r="H69" s="175"/>
    </row>
    <row r="70" spans="8:8" ht="13.5" customHeight="1">
      <c r="H70" s="175"/>
    </row>
    <row r="71" spans="8:8" ht="13.5" customHeight="1">
      <c r="H71" s="175"/>
    </row>
    <row r="72" spans="8:8" ht="13.5" customHeight="1">
      <c r="H72" s="175"/>
    </row>
    <row r="73" spans="8:8" ht="13.5" customHeight="1">
      <c r="H73" s="175"/>
    </row>
    <row r="74" spans="8:8" ht="13.5" customHeight="1">
      <c r="H74" s="175"/>
    </row>
    <row r="75" spans="8:8" ht="13.5" customHeight="1">
      <c r="H75" s="175"/>
    </row>
    <row r="76" spans="8:8" ht="13.5" customHeight="1">
      <c r="H76" s="175"/>
    </row>
    <row r="77" spans="8:8" ht="13.5" customHeight="1">
      <c r="H77" s="175"/>
    </row>
    <row r="78" spans="8:8" ht="13.5" customHeight="1">
      <c r="H78" s="175"/>
    </row>
    <row r="79" spans="8:8" ht="13.5" customHeight="1">
      <c r="H79" s="175"/>
    </row>
    <row r="80" spans="8:8" ht="13.5" customHeight="1">
      <c r="H80" s="175"/>
    </row>
    <row r="81" spans="8:8" ht="13.5" customHeight="1">
      <c r="H81" s="175"/>
    </row>
    <row r="82" spans="8:8" ht="13.5" customHeight="1">
      <c r="H82" s="175"/>
    </row>
    <row r="83" spans="8:8" ht="13.5" customHeight="1">
      <c r="H83" s="175"/>
    </row>
    <row r="84" spans="8:8" ht="13.5" customHeight="1">
      <c r="H84" s="175"/>
    </row>
    <row r="85" spans="8:8" ht="13.5" customHeight="1">
      <c r="H85" s="175"/>
    </row>
    <row r="86" spans="8:8" ht="13.5" customHeight="1">
      <c r="H86" s="175"/>
    </row>
    <row r="87" spans="8:8" ht="13.5" customHeight="1">
      <c r="H87" s="175"/>
    </row>
    <row r="88" spans="8:8" ht="13.5" customHeight="1">
      <c r="H88" s="175"/>
    </row>
    <row r="89" spans="8:8" ht="13.5" customHeight="1">
      <c r="H89" s="175"/>
    </row>
    <row r="90" spans="8:8" ht="13.5" customHeight="1">
      <c r="H90" s="175"/>
    </row>
    <row r="91" spans="8:8" ht="13.5" customHeight="1">
      <c r="H91" s="175"/>
    </row>
    <row r="92" spans="8:8" ht="13.5" customHeight="1">
      <c r="H92" s="175"/>
    </row>
    <row r="93" spans="8:8" ht="13.5" customHeight="1">
      <c r="H93" s="175"/>
    </row>
    <row r="94" spans="8:8" ht="13.5" customHeight="1">
      <c r="H94" s="175"/>
    </row>
    <row r="95" spans="8:8" ht="13.5" customHeight="1">
      <c r="H95" s="175"/>
    </row>
    <row r="96" spans="8:8" ht="13.5" customHeight="1">
      <c r="H96" s="175"/>
    </row>
    <row r="97" spans="8:8" ht="13.5" customHeight="1">
      <c r="H97" s="175"/>
    </row>
    <row r="98" spans="8:8" ht="13.5" customHeight="1">
      <c r="H98" s="175"/>
    </row>
    <row r="99" spans="8:8" ht="13.5" customHeight="1">
      <c r="H99" s="175"/>
    </row>
    <row r="100" spans="8:8" ht="13.5" customHeight="1">
      <c r="H100" s="175"/>
    </row>
    <row r="101" spans="8:8" ht="13.5" customHeight="1">
      <c r="H101" s="175"/>
    </row>
    <row r="102" spans="8:8" ht="13.5" customHeight="1">
      <c r="H102" s="175"/>
    </row>
    <row r="103" spans="8:8" ht="13.5" customHeight="1">
      <c r="H103" s="175"/>
    </row>
    <row r="104" spans="8:8" ht="13.5" customHeight="1">
      <c r="H104" s="175"/>
    </row>
    <row r="105" spans="8:8" ht="13.5" customHeight="1">
      <c r="H105" s="175"/>
    </row>
    <row r="106" spans="8:8" ht="13.5" customHeight="1">
      <c r="H106" s="175"/>
    </row>
    <row r="107" spans="8:8" ht="13.5" customHeight="1">
      <c r="H107" s="175"/>
    </row>
    <row r="108" spans="8:8" ht="13.5" customHeight="1">
      <c r="H108" s="175"/>
    </row>
    <row r="109" spans="8:8" ht="13.5" customHeight="1">
      <c r="H109" s="175"/>
    </row>
    <row r="110" spans="8:8" ht="13.5" customHeight="1">
      <c r="H110" s="175"/>
    </row>
    <row r="111" spans="8:8" ht="13.5" customHeight="1">
      <c r="H111" s="175"/>
    </row>
    <row r="112" spans="8:8" ht="13.5" customHeight="1">
      <c r="H112" s="175"/>
    </row>
    <row r="113" spans="8:8" ht="13.5" customHeight="1">
      <c r="H113" s="175"/>
    </row>
    <row r="114" spans="8:8" ht="13.5" customHeight="1">
      <c r="H114" s="175"/>
    </row>
    <row r="115" spans="8:8" ht="13.5" customHeight="1">
      <c r="H115" s="175"/>
    </row>
    <row r="116" spans="8:8" ht="13.5" customHeight="1">
      <c r="H116" s="175"/>
    </row>
    <row r="117" spans="8:8" ht="13.5" customHeight="1">
      <c r="H117" s="175"/>
    </row>
    <row r="118" spans="8:8" ht="13.5" customHeight="1">
      <c r="H118" s="175"/>
    </row>
    <row r="119" spans="8:8" ht="13.5" customHeight="1">
      <c r="H119" s="175"/>
    </row>
    <row r="120" spans="8:8" ht="13.5" customHeight="1">
      <c r="H120" s="175"/>
    </row>
    <row r="121" spans="8:8" ht="13.5" customHeight="1">
      <c r="H121" s="175"/>
    </row>
    <row r="122" spans="8:8" ht="13.5" customHeight="1">
      <c r="H122" s="175"/>
    </row>
    <row r="123" spans="8:8" ht="13.5" customHeight="1">
      <c r="H123" s="175"/>
    </row>
    <row r="124" spans="8:8" ht="13.5" customHeight="1">
      <c r="H124" s="175"/>
    </row>
    <row r="125" spans="8:8" ht="13.5" customHeight="1">
      <c r="H125" s="175"/>
    </row>
    <row r="126" spans="8:8" ht="13.5" customHeight="1">
      <c r="H126" s="175"/>
    </row>
    <row r="127" spans="8:8" ht="13.5" customHeight="1">
      <c r="H127" s="175"/>
    </row>
    <row r="128" spans="8:8" ht="13.5" customHeight="1">
      <c r="H128" s="175"/>
    </row>
    <row r="129" spans="8:8" ht="13.5" customHeight="1">
      <c r="H129" s="175"/>
    </row>
    <row r="130" spans="8:8" ht="13.5" customHeight="1">
      <c r="H130" s="175"/>
    </row>
    <row r="131" spans="8:8" ht="13.5" customHeight="1">
      <c r="H131" s="175"/>
    </row>
    <row r="132" spans="8:8" ht="13.5" customHeight="1">
      <c r="H132" s="175"/>
    </row>
    <row r="133" spans="8:8" ht="13.5" customHeight="1">
      <c r="H133" s="175"/>
    </row>
    <row r="134" spans="8:8" ht="13.5" customHeight="1">
      <c r="H134" s="175"/>
    </row>
    <row r="135" spans="8:8" ht="13.5" customHeight="1">
      <c r="H135" s="175"/>
    </row>
    <row r="136" spans="8:8" ht="13.5" customHeight="1">
      <c r="H136" s="175"/>
    </row>
    <row r="137" spans="8:8" ht="13.5" customHeight="1">
      <c r="H137" s="175"/>
    </row>
    <row r="138" spans="8:8" ht="13.5" customHeight="1">
      <c r="H138" s="175"/>
    </row>
    <row r="139" spans="8:8" ht="13.5" customHeight="1">
      <c r="H139" s="175"/>
    </row>
    <row r="140" spans="8:8" ht="13.5" customHeight="1">
      <c r="H140" s="175"/>
    </row>
    <row r="141" spans="8:8" ht="13.5" customHeight="1">
      <c r="H141" s="175"/>
    </row>
    <row r="142" spans="8:8" ht="13.5" customHeight="1">
      <c r="H142" s="175"/>
    </row>
    <row r="143" spans="8:8" ht="13.5" customHeight="1">
      <c r="H143" s="175"/>
    </row>
    <row r="144" spans="8:8" ht="13.5" customHeight="1">
      <c r="H144" s="175"/>
    </row>
    <row r="145" spans="8:8" ht="13.5" customHeight="1">
      <c r="H145" s="175"/>
    </row>
    <row r="146" spans="8:8" ht="13.5" customHeight="1">
      <c r="H146" s="175"/>
    </row>
    <row r="147" spans="8:8" ht="13.5" customHeight="1">
      <c r="H147" s="175"/>
    </row>
    <row r="148" spans="8:8" ht="13.5" customHeight="1">
      <c r="H148" s="175"/>
    </row>
    <row r="149" spans="8:8" ht="13.5" customHeight="1">
      <c r="H149" s="175"/>
    </row>
    <row r="150" spans="8:8" ht="13.5" customHeight="1">
      <c r="H150" s="175"/>
    </row>
    <row r="151" spans="8:8" ht="13.5" customHeight="1">
      <c r="H151" s="175"/>
    </row>
    <row r="152" spans="8:8" ht="13.5" customHeight="1">
      <c r="H152" s="175"/>
    </row>
    <row r="153" spans="8:8" ht="13.5" customHeight="1">
      <c r="H153" s="175"/>
    </row>
    <row r="154" spans="8:8" ht="13.5" customHeight="1">
      <c r="H154" s="175"/>
    </row>
    <row r="155" spans="8:8" ht="13.5" customHeight="1">
      <c r="H155" s="175"/>
    </row>
    <row r="156" spans="8:8" ht="13.5" customHeight="1">
      <c r="H156" s="175"/>
    </row>
    <row r="157" spans="8:8" ht="13.5" customHeight="1">
      <c r="H157" s="175"/>
    </row>
    <row r="158" spans="8:8" ht="13.5" customHeight="1">
      <c r="H158" s="175"/>
    </row>
    <row r="159" spans="8:8" ht="13.5" customHeight="1">
      <c r="H159" s="175"/>
    </row>
    <row r="160" spans="8:8" ht="13.5" customHeight="1">
      <c r="H160" s="175"/>
    </row>
    <row r="161" spans="8:8" ht="13.5" customHeight="1">
      <c r="H161" s="175"/>
    </row>
    <row r="162" spans="8:8" ht="13.5" customHeight="1">
      <c r="H162" s="175"/>
    </row>
    <row r="163" spans="8:8" ht="13.5" customHeight="1">
      <c r="H163" s="175"/>
    </row>
    <row r="164" spans="8:8" ht="13.5" customHeight="1">
      <c r="H164" s="175"/>
    </row>
    <row r="165" spans="8:8" ht="13.5" customHeight="1">
      <c r="H165" s="175"/>
    </row>
    <row r="166" spans="8:8" ht="13.5" customHeight="1">
      <c r="H166" s="175"/>
    </row>
    <row r="167" spans="8:8" ht="13.5" customHeight="1">
      <c r="H167" s="175"/>
    </row>
    <row r="168" spans="8:8" ht="13.5" customHeight="1">
      <c r="H168" s="175"/>
    </row>
    <row r="169" spans="8:8" ht="13.5" customHeight="1">
      <c r="H169" s="175"/>
    </row>
    <row r="170" spans="8:8" ht="13.5" customHeight="1">
      <c r="H170" s="175"/>
    </row>
    <row r="171" spans="8:8" ht="13.5" customHeight="1">
      <c r="H171" s="175"/>
    </row>
    <row r="172" spans="8:8" ht="13.5" customHeight="1">
      <c r="H172" s="175"/>
    </row>
    <row r="173" spans="8:8" ht="13.5" customHeight="1">
      <c r="H173" s="175"/>
    </row>
    <row r="174" spans="8:8" ht="13.5" customHeight="1">
      <c r="H174" s="175"/>
    </row>
    <row r="175" spans="8:8" ht="13.5" customHeight="1">
      <c r="H175" s="175"/>
    </row>
    <row r="176" spans="8:8" ht="13.5" customHeight="1">
      <c r="H176" s="175"/>
    </row>
    <row r="177" spans="8:8" ht="13.5" customHeight="1">
      <c r="H177" s="175"/>
    </row>
    <row r="178" spans="8:8" ht="13.5" customHeight="1">
      <c r="H178" s="175"/>
    </row>
    <row r="179" spans="8:8" ht="13.5" customHeight="1">
      <c r="H179" s="175"/>
    </row>
    <row r="180" spans="8:8" ht="13.5" customHeight="1">
      <c r="H180" s="175"/>
    </row>
    <row r="181" spans="8:8" ht="13.5" customHeight="1">
      <c r="H181" s="175"/>
    </row>
    <row r="182" spans="8:8" ht="13.5" customHeight="1">
      <c r="H182" s="175"/>
    </row>
    <row r="183" spans="8:8" ht="13.5" customHeight="1">
      <c r="H183" s="175"/>
    </row>
    <row r="184" spans="8:8" ht="13.5" customHeight="1">
      <c r="H184" s="175"/>
    </row>
    <row r="185" spans="8:8" ht="13.5" customHeight="1">
      <c r="H185" s="175"/>
    </row>
    <row r="186" spans="8:8" ht="13.5" customHeight="1">
      <c r="H186" s="175"/>
    </row>
    <row r="187" spans="8:8" ht="13.5" customHeight="1">
      <c r="H187" s="175"/>
    </row>
    <row r="188" spans="8:8" ht="13.5" customHeight="1">
      <c r="H188" s="175"/>
    </row>
    <row r="189" spans="8:8" ht="13.5" customHeight="1">
      <c r="H189" s="175"/>
    </row>
    <row r="190" spans="8:8" ht="13.5" customHeight="1">
      <c r="H190" s="175"/>
    </row>
    <row r="191" spans="8:8" ht="13.5" customHeight="1">
      <c r="H191" s="175"/>
    </row>
    <row r="192" spans="8:8" ht="13.5" customHeight="1">
      <c r="H192" s="175"/>
    </row>
    <row r="193" spans="8:8" ht="13.5" customHeight="1">
      <c r="H193" s="175"/>
    </row>
    <row r="194" spans="8:8" ht="13.5" customHeight="1">
      <c r="H194" s="175"/>
    </row>
    <row r="195" spans="8:8" ht="13.5" customHeight="1">
      <c r="H195" s="175"/>
    </row>
    <row r="196" spans="8:8" ht="13.5" customHeight="1">
      <c r="H196" s="175"/>
    </row>
    <row r="197" spans="8:8" ht="13.5" customHeight="1">
      <c r="H197" s="175"/>
    </row>
    <row r="198" spans="8:8" ht="13.5" customHeight="1">
      <c r="H198" s="175"/>
    </row>
    <row r="199" spans="8:8" ht="13.5" customHeight="1">
      <c r="H199" s="175"/>
    </row>
    <row r="200" spans="8:8" ht="13.5" customHeight="1">
      <c r="H200" s="175"/>
    </row>
    <row r="201" spans="8:8" ht="13.5" customHeight="1">
      <c r="H201" s="175"/>
    </row>
    <row r="202" spans="8:8" ht="13.5" customHeight="1">
      <c r="H202" s="175"/>
    </row>
    <row r="203" spans="8:8" ht="13.5" customHeight="1">
      <c r="H203" s="175"/>
    </row>
    <row r="204" spans="8:8" ht="13.5" customHeight="1">
      <c r="H204" s="175"/>
    </row>
    <row r="205" spans="8:8" ht="13.5" customHeight="1">
      <c r="H205" s="175"/>
    </row>
    <row r="206" spans="8:8" ht="13.5" customHeight="1">
      <c r="H206" s="175"/>
    </row>
    <row r="207" spans="8:8" ht="13.5" customHeight="1">
      <c r="H207" s="175"/>
    </row>
    <row r="208" spans="8:8" ht="13.5" customHeight="1">
      <c r="H208" s="175"/>
    </row>
    <row r="209" spans="8:8" ht="13.5" customHeight="1">
      <c r="H209" s="175"/>
    </row>
    <row r="210" spans="8:8" ht="13.5" customHeight="1">
      <c r="H210" s="175"/>
    </row>
    <row r="211" spans="8:8" ht="13.5" customHeight="1">
      <c r="H211" s="175"/>
    </row>
    <row r="212" spans="8:8" ht="13.5" customHeight="1">
      <c r="H212" s="175"/>
    </row>
    <row r="213" spans="8:8" ht="13.5" customHeight="1">
      <c r="H213" s="175"/>
    </row>
    <row r="214" spans="8:8" ht="13.5" customHeight="1">
      <c r="H214" s="175"/>
    </row>
    <row r="215" spans="8:8" ht="13.5" customHeight="1">
      <c r="H215" s="175"/>
    </row>
    <row r="216" spans="8:8" ht="13.5" customHeight="1">
      <c r="H216" s="175"/>
    </row>
    <row r="217" spans="8:8" ht="13.5" customHeight="1">
      <c r="H217" s="175"/>
    </row>
    <row r="218" spans="8:8" ht="13.5" customHeight="1">
      <c r="H218" s="175"/>
    </row>
    <row r="219" spans="8:8" ht="13.5" customHeight="1">
      <c r="H219" s="175"/>
    </row>
    <row r="220" spans="8:8" ht="13.5" customHeight="1">
      <c r="H220" s="175"/>
    </row>
    <row r="221" spans="8:8" ht="13.5" customHeight="1">
      <c r="H221" s="175"/>
    </row>
    <row r="222" spans="8:8" ht="13.5" customHeight="1">
      <c r="H222" s="175"/>
    </row>
    <row r="223" spans="8:8" ht="13.5" customHeight="1">
      <c r="H223" s="175"/>
    </row>
    <row r="224" spans="8:8" ht="13.5" customHeight="1">
      <c r="H224" s="175"/>
    </row>
    <row r="225" spans="8:8" ht="13.5" customHeight="1">
      <c r="H225" s="175"/>
    </row>
    <row r="226" spans="8:8" ht="13.5" customHeight="1">
      <c r="H226" s="175"/>
    </row>
    <row r="227" spans="8:8" ht="13.5" customHeight="1">
      <c r="H227" s="175"/>
    </row>
    <row r="228" spans="8:8" ht="13.5" customHeight="1">
      <c r="H228" s="175"/>
    </row>
    <row r="229" spans="8:8" ht="13.5" customHeight="1">
      <c r="H229" s="175"/>
    </row>
    <row r="230" spans="8:8" ht="13.5" customHeight="1">
      <c r="H230" s="175"/>
    </row>
    <row r="231" spans="8:8" ht="13.5" customHeight="1">
      <c r="H231" s="175"/>
    </row>
    <row r="232" spans="8:8" ht="13.5" customHeight="1">
      <c r="H232" s="175"/>
    </row>
    <row r="233" spans="8:8" ht="13.5" customHeight="1">
      <c r="H233" s="175"/>
    </row>
    <row r="234" spans="8:8" ht="13.5" customHeight="1">
      <c r="H234" s="175"/>
    </row>
    <row r="235" spans="8:8" ht="13.5" customHeight="1">
      <c r="H235" s="175"/>
    </row>
    <row r="236" spans="8:8" ht="13.5" customHeight="1">
      <c r="H236" s="175"/>
    </row>
    <row r="237" spans="8:8" ht="13.5" customHeight="1">
      <c r="H237" s="175"/>
    </row>
    <row r="238" spans="8:8" ht="13.5" customHeight="1">
      <c r="H238" s="175"/>
    </row>
    <row r="239" spans="8:8" ht="13.5" customHeight="1">
      <c r="H239" s="175"/>
    </row>
    <row r="240" spans="8:8" ht="13.5" customHeight="1">
      <c r="H240" s="175"/>
    </row>
    <row r="241" spans="8:8" ht="13.5" customHeight="1">
      <c r="H241" s="175"/>
    </row>
    <row r="242" spans="8:8" ht="13.5" customHeight="1">
      <c r="H242" s="175"/>
    </row>
    <row r="243" spans="8:8" ht="13.5" customHeight="1">
      <c r="H243" s="175"/>
    </row>
    <row r="244" spans="8:8" ht="13.5" customHeight="1">
      <c r="H244" s="175"/>
    </row>
    <row r="245" spans="8:8" ht="13.5" customHeight="1">
      <c r="H245" s="175"/>
    </row>
    <row r="246" spans="8:8" ht="13.5" customHeight="1">
      <c r="H246" s="175"/>
    </row>
    <row r="247" spans="8:8" ht="13.5" customHeight="1">
      <c r="H247" s="175"/>
    </row>
    <row r="248" spans="8:8" ht="13.5" customHeight="1">
      <c r="H248" s="175"/>
    </row>
    <row r="249" spans="8:8" ht="13.5" customHeight="1">
      <c r="H249" s="175"/>
    </row>
    <row r="250" spans="8:8" ht="13.5" customHeight="1">
      <c r="H250" s="175"/>
    </row>
    <row r="251" spans="8:8" ht="13.5" customHeight="1">
      <c r="H251" s="175"/>
    </row>
    <row r="252" spans="8:8" ht="13.5" customHeight="1">
      <c r="H252" s="175"/>
    </row>
    <row r="253" spans="8:8" ht="13.5" customHeight="1">
      <c r="H253" s="175"/>
    </row>
    <row r="254" spans="8:8" ht="13.5" customHeight="1">
      <c r="H254" s="175"/>
    </row>
    <row r="255" spans="8:8" ht="13.5" customHeight="1">
      <c r="H255" s="175"/>
    </row>
    <row r="256" spans="8:8" ht="13.5" customHeight="1">
      <c r="H256" s="175"/>
    </row>
    <row r="257" spans="8:8" ht="13.5" customHeight="1">
      <c r="H257" s="175"/>
    </row>
    <row r="258" spans="8:8" ht="13.5" customHeight="1">
      <c r="H258" s="175"/>
    </row>
    <row r="259" spans="8:8" ht="13.5" customHeight="1">
      <c r="H259" s="175"/>
    </row>
    <row r="260" spans="8:8" ht="13.5" customHeight="1">
      <c r="H260" s="175"/>
    </row>
    <row r="261" spans="8:8" ht="13.5" customHeight="1">
      <c r="H261" s="175"/>
    </row>
    <row r="262" spans="8:8" ht="13.5" customHeight="1">
      <c r="H262" s="175"/>
    </row>
    <row r="263" spans="8:8" ht="13.5" customHeight="1">
      <c r="H263" s="175"/>
    </row>
    <row r="264" spans="8:8" ht="13.5" customHeight="1">
      <c r="H264" s="175"/>
    </row>
    <row r="265" spans="8:8" ht="13.5" customHeight="1">
      <c r="H265" s="175"/>
    </row>
    <row r="266" spans="8:8" ht="13.5" customHeight="1">
      <c r="H266" s="175"/>
    </row>
    <row r="267" spans="8:8" ht="13.5" customHeight="1">
      <c r="H267" s="175"/>
    </row>
    <row r="268" spans="8:8" ht="13.5" customHeight="1">
      <c r="H268" s="175"/>
    </row>
    <row r="269" spans="8:8" ht="13.5" customHeight="1">
      <c r="H269" s="175"/>
    </row>
    <row r="270" spans="8:8" ht="13.5" customHeight="1">
      <c r="H270" s="175"/>
    </row>
    <row r="271" spans="8:8" ht="13.5" customHeight="1">
      <c r="H271" s="175"/>
    </row>
    <row r="272" spans="8:8" ht="13.5" customHeight="1">
      <c r="H272" s="175"/>
    </row>
    <row r="273" spans="8:8" ht="13.5" customHeight="1">
      <c r="H273" s="175"/>
    </row>
    <row r="274" spans="8:8" ht="13.5" customHeight="1">
      <c r="H274" s="175"/>
    </row>
    <row r="275" spans="8:8" ht="13.5" customHeight="1">
      <c r="H275" s="175"/>
    </row>
    <row r="276" spans="8:8" ht="13.5" customHeight="1">
      <c r="H276" s="175"/>
    </row>
    <row r="277" spans="8:8" ht="13.5" customHeight="1">
      <c r="H277" s="175"/>
    </row>
    <row r="278" spans="8:8" ht="13.5" customHeight="1">
      <c r="H278" s="175"/>
    </row>
    <row r="279" spans="8:8" ht="13.5" customHeight="1">
      <c r="H279" s="175"/>
    </row>
    <row r="280" spans="8:8" ht="13.5" customHeight="1">
      <c r="H280" s="175"/>
    </row>
    <row r="281" spans="8:8" ht="13.5" customHeight="1">
      <c r="H281" s="175"/>
    </row>
    <row r="282" spans="8:8" ht="13.5" customHeight="1">
      <c r="H282" s="175"/>
    </row>
    <row r="283" spans="8:8" ht="13.5" customHeight="1">
      <c r="H283" s="175"/>
    </row>
    <row r="284" spans="8:8" ht="13.5" customHeight="1">
      <c r="H284" s="175"/>
    </row>
    <row r="285" spans="8:8" ht="13.5" customHeight="1">
      <c r="H285" s="175"/>
    </row>
    <row r="286" spans="8:8" ht="13.5" customHeight="1">
      <c r="H286" s="175"/>
    </row>
    <row r="287" spans="8:8" ht="13.5" customHeight="1">
      <c r="H287" s="175"/>
    </row>
    <row r="288" spans="8:8" ht="13.5" customHeight="1">
      <c r="H288" s="175"/>
    </row>
    <row r="289" spans="8:8" ht="13.5" customHeight="1">
      <c r="H289" s="175"/>
    </row>
    <row r="290" spans="8:8" ht="13.5" customHeight="1">
      <c r="H290" s="175"/>
    </row>
    <row r="291" spans="8:8" ht="13.5" customHeight="1">
      <c r="H291" s="175"/>
    </row>
    <row r="292" spans="8:8" ht="13.5" customHeight="1">
      <c r="H292" s="175"/>
    </row>
    <row r="293" spans="8:8" ht="13.5" customHeight="1">
      <c r="H293" s="175"/>
    </row>
    <row r="294" spans="8:8" ht="13.5" customHeight="1">
      <c r="H294" s="175"/>
    </row>
    <row r="295" spans="8:8" ht="13.5" customHeight="1">
      <c r="H295" s="175"/>
    </row>
    <row r="296" spans="8:8" ht="13.5" customHeight="1">
      <c r="H296" s="175"/>
    </row>
    <row r="297" spans="8:8" ht="13.5" customHeight="1">
      <c r="H297" s="175"/>
    </row>
    <row r="298" spans="8:8" ht="13.5" customHeight="1">
      <c r="H298" s="175"/>
    </row>
    <row r="299" spans="8:8" ht="13.5" customHeight="1">
      <c r="H299" s="175"/>
    </row>
    <row r="300" spans="8:8" ht="13.5" customHeight="1">
      <c r="H300" s="175"/>
    </row>
    <row r="301" spans="8:8" ht="13.5" customHeight="1">
      <c r="H301" s="175"/>
    </row>
    <row r="302" spans="8:8" ht="13.5" customHeight="1">
      <c r="H302" s="175"/>
    </row>
    <row r="303" spans="8:8" ht="13.5" customHeight="1">
      <c r="H303" s="175"/>
    </row>
    <row r="304" spans="8:8" ht="13.5" customHeight="1">
      <c r="H304" s="175"/>
    </row>
    <row r="305" spans="8:8" ht="13.5" customHeight="1">
      <c r="H305" s="175"/>
    </row>
    <row r="306" spans="8:8" ht="13.5" customHeight="1">
      <c r="H306" s="175"/>
    </row>
    <row r="307" spans="8:8" ht="13.5" customHeight="1">
      <c r="H307" s="175"/>
    </row>
    <row r="308" spans="8:8" ht="13.5" customHeight="1">
      <c r="H308" s="175"/>
    </row>
    <row r="309" spans="8:8" ht="13.5" customHeight="1">
      <c r="H309" s="175"/>
    </row>
    <row r="310" spans="8:8" ht="13.5" customHeight="1">
      <c r="H310" s="175"/>
    </row>
    <row r="311" spans="8:8" ht="13.5" customHeight="1">
      <c r="H311" s="175"/>
    </row>
    <row r="312" spans="8:8" ht="13.5" customHeight="1">
      <c r="H312" s="175"/>
    </row>
    <row r="313" spans="8:8" ht="13.5" customHeight="1">
      <c r="H313" s="175"/>
    </row>
    <row r="314" spans="8:8" ht="13.5" customHeight="1">
      <c r="H314" s="175"/>
    </row>
    <row r="315" spans="8:8" ht="13.5" customHeight="1">
      <c r="H315" s="175"/>
    </row>
    <row r="316" spans="8:8" ht="13.5" customHeight="1">
      <c r="H316" s="175"/>
    </row>
    <row r="317" spans="8:8" ht="13.5" customHeight="1">
      <c r="H317" s="175"/>
    </row>
    <row r="318" spans="8:8" ht="13.5" customHeight="1">
      <c r="H318" s="175"/>
    </row>
    <row r="319" spans="8:8" ht="13.5" customHeight="1">
      <c r="H319" s="175"/>
    </row>
    <row r="320" spans="8:8" ht="13.5" customHeight="1">
      <c r="H320" s="175"/>
    </row>
    <row r="321" spans="8:8" ht="13.5" customHeight="1">
      <c r="H321" s="175"/>
    </row>
    <row r="322" spans="8:8" ht="13.5" customHeight="1">
      <c r="H322" s="175"/>
    </row>
    <row r="323" spans="8:8" ht="13.5" customHeight="1">
      <c r="H323" s="175"/>
    </row>
    <row r="324" spans="8:8" ht="13.5" customHeight="1">
      <c r="H324" s="175"/>
    </row>
    <row r="325" spans="8:8" ht="13.5" customHeight="1">
      <c r="H325" s="175"/>
    </row>
    <row r="326" spans="8:8" ht="13.5" customHeight="1">
      <c r="H326" s="175"/>
    </row>
    <row r="327" spans="8:8" ht="13.5" customHeight="1">
      <c r="H327" s="175"/>
    </row>
    <row r="328" spans="8:8" ht="13.5" customHeight="1">
      <c r="H328" s="175"/>
    </row>
    <row r="329" spans="8:8" ht="13.5" customHeight="1">
      <c r="H329" s="175"/>
    </row>
    <row r="330" spans="8:8" ht="13.5" customHeight="1">
      <c r="H330" s="175"/>
    </row>
    <row r="331" spans="8:8" ht="13.5" customHeight="1">
      <c r="H331" s="175"/>
    </row>
    <row r="332" spans="8:8" ht="13.5" customHeight="1">
      <c r="H332" s="175"/>
    </row>
    <row r="333" spans="8:8" ht="13.5" customHeight="1">
      <c r="H333" s="175"/>
    </row>
    <row r="334" spans="8:8" ht="13.5" customHeight="1">
      <c r="H334" s="175"/>
    </row>
    <row r="335" spans="8:8" ht="13.5" customHeight="1">
      <c r="H335" s="175"/>
    </row>
    <row r="336" spans="8:8" ht="13.5" customHeight="1">
      <c r="H336" s="175"/>
    </row>
    <row r="337" spans="8:8" ht="13.5" customHeight="1">
      <c r="H337" s="175"/>
    </row>
    <row r="338" spans="8:8" ht="13.5" customHeight="1">
      <c r="H338" s="175"/>
    </row>
    <row r="339" spans="8:8" ht="13.5" customHeight="1">
      <c r="H339" s="175"/>
    </row>
    <row r="340" spans="8:8" ht="13.5" customHeight="1">
      <c r="H340" s="175"/>
    </row>
    <row r="341" spans="8:8" ht="13.5" customHeight="1">
      <c r="H341" s="175"/>
    </row>
    <row r="342" spans="8:8" ht="13.5" customHeight="1">
      <c r="H342" s="175"/>
    </row>
    <row r="343" spans="8:8" ht="13.5" customHeight="1">
      <c r="H343" s="175"/>
    </row>
    <row r="344" spans="8:8" ht="13.5" customHeight="1">
      <c r="H344" s="175"/>
    </row>
    <row r="345" spans="8:8" ht="13.5" customHeight="1">
      <c r="H345" s="175"/>
    </row>
    <row r="346" spans="8:8" ht="13.5" customHeight="1">
      <c r="H346" s="175"/>
    </row>
    <row r="347" spans="8:8" ht="13.5" customHeight="1">
      <c r="H347" s="175"/>
    </row>
    <row r="348" spans="8:8" ht="13.5" customHeight="1">
      <c r="H348" s="175"/>
    </row>
    <row r="349" spans="8:8" ht="13.5" customHeight="1">
      <c r="H349" s="175"/>
    </row>
    <row r="350" spans="8:8" ht="13.5" customHeight="1">
      <c r="H350" s="175"/>
    </row>
    <row r="351" spans="8:8" ht="13.5" customHeight="1">
      <c r="H351" s="175"/>
    </row>
    <row r="352" spans="8:8" ht="13.5" customHeight="1">
      <c r="H352" s="175"/>
    </row>
    <row r="353" spans="8:8" ht="13.5" customHeight="1">
      <c r="H353" s="175"/>
    </row>
    <row r="354" spans="8:8" ht="13.5" customHeight="1">
      <c r="H354" s="175"/>
    </row>
    <row r="355" spans="8:8" ht="13.5" customHeight="1">
      <c r="H355" s="175"/>
    </row>
    <row r="356" spans="8:8" ht="13.5" customHeight="1">
      <c r="H356" s="175"/>
    </row>
    <row r="357" spans="8:8" ht="13.5" customHeight="1">
      <c r="H357" s="175"/>
    </row>
    <row r="358" spans="8:8" ht="13.5" customHeight="1">
      <c r="H358" s="175"/>
    </row>
    <row r="359" spans="8:8" ht="13.5" customHeight="1">
      <c r="H359" s="175"/>
    </row>
    <row r="360" spans="8:8" ht="13.5" customHeight="1">
      <c r="H360" s="175"/>
    </row>
    <row r="361" spans="8:8" ht="13.5" customHeight="1">
      <c r="H361" s="175"/>
    </row>
    <row r="362" spans="8:8" ht="13.5" customHeight="1">
      <c r="H362" s="175"/>
    </row>
    <row r="363" spans="8:8" ht="13.5" customHeight="1">
      <c r="H363" s="175"/>
    </row>
    <row r="364" spans="8:8" ht="13.5" customHeight="1">
      <c r="H364" s="175"/>
    </row>
    <row r="365" spans="8:8" ht="13.5" customHeight="1">
      <c r="H365" s="175"/>
    </row>
    <row r="366" spans="8:8" ht="13.5" customHeight="1">
      <c r="H366" s="175"/>
    </row>
    <row r="367" spans="8:8" ht="13.5" customHeight="1">
      <c r="H367" s="175"/>
    </row>
    <row r="368" spans="8:8" ht="13.5" customHeight="1">
      <c r="H368" s="175"/>
    </row>
    <row r="369" spans="8:8" ht="13.5" customHeight="1">
      <c r="H369" s="175"/>
    </row>
    <row r="370" spans="8:8" ht="13.5" customHeight="1">
      <c r="H370" s="175"/>
    </row>
    <row r="371" spans="8:8" ht="13.5" customHeight="1">
      <c r="H371" s="175"/>
    </row>
    <row r="372" spans="8:8" ht="13.5" customHeight="1">
      <c r="H372" s="175"/>
    </row>
    <row r="373" spans="8:8" ht="13.5" customHeight="1">
      <c r="H373" s="175"/>
    </row>
    <row r="374" spans="8:8" ht="13.5" customHeight="1">
      <c r="H374" s="175"/>
    </row>
    <row r="375" spans="8:8" ht="13.5" customHeight="1">
      <c r="H375" s="175"/>
    </row>
    <row r="376" spans="8:8" ht="13.5" customHeight="1">
      <c r="H376" s="175"/>
    </row>
    <row r="377" spans="8:8" ht="13.5" customHeight="1">
      <c r="H377" s="175"/>
    </row>
    <row r="378" spans="8:8" ht="13.5" customHeight="1">
      <c r="H378" s="175"/>
    </row>
    <row r="379" spans="8:8" ht="13.5" customHeight="1">
      <c r="H379" s="175"/>
    </row>
    <row r="380" spans="8:8" ht="13.5" customHeight="1">
      <c r="H380" s="175"/>
    </row>
    <row r="381" spans="8:8" ht="13.5" customHeight="1">
      <c r="H381" s="175"/>
    </row>
    <row r="382" spans="8:8" ht="13.5" customHeight="1">
      <c r="H382" s="175"/>
    </row>
    <row r="383" spans="8:8" ht="13.5" customHeight="1">
      <c r="H383" s="175"/>
    </row>
    <row r="384" spans="8:8" ht="13.5" customHeight="1">
      <c r="H384" s="175"/>
    </row>
    <row r="385" spans="8:8" ht="13.5" customHeight="1">
      <c r="H385" s="175"/>
    </row>
    <row r="386" spans="8:8" ht="13.5" customHeight="1">
      <c r="H386" s="175"/>
    </row>
    <row r="387" spans="8:8" ht="13.5" customHeight="1">
      <c r="H387" s="175"/>
    </row>
    <row r="388" spans="8:8" ht="13.5" customHeight="1">
      <c r="H388" s="175"/>
    </row>
    <row r="389" spans="8:8" ht="13.5" customHeight="1">
      <c r="H389" s="175"/>
    </row>
    <row r="390" spans="8:8" ht="13.5" customHeight="1">
      <c r="H390" s="175"/>
    </row>
    <row r="391" spans="8:8" ht="13.5" customHeight="1">
      <c r="H391" s="175"/>
    </row>
    <row r="392" spans="8:8" ht="13.5" customHeight="1">
      <c r="H392" s="175"/>
    </row>
    <row r="393" spans="8:8" ht="13.5" customHeight="1">
      <c r="H393" s="175"/>
    </row>
    <row r="394" spans="8:8" ht="13.5" customHeight="1">
      <c r="H394" s="175"/>
    </row>
    <row r="395" spans="8:8" ht="13.5" customHeight="1">
      <c r="H395" s="175"/>
    </row>
    <row r="396" spans="8:8" ht="13.5" customHeight="1">
      <c r="H396" s="175"/>
    </row>
    <row r="397" spans="8:8" ht="13.5" customHeight="1">
      <c r="H397" s="175"/>
    </row>
    <row r="398" spans="8:8" ht="13.5" customHeight="1">
      <c r="H398" s="175"/>
    </row>
    <row r="399" spans="8:8" ht="13.5" customHeight="1">
      <c r="H399" s="175"/>
    </row>
    <row r="400" spans="8:8" ht="13.5" customHeight="1">
      <c r="H400" s="175"/>
    </row>
    <row r="401" spans="8:8" ht="13.5" customHeight="1">
      <c r="H401" s="175"/>
    </row>
    <row r="402" spans="8:8" ht="13.5" customHeight="1">
      <c r="H402" s="175"/>
    </row>
    <row r="403" spans="8:8" ht="13.5" customHeight="1">
      <c r="H403" s="175"/>
    </row>
    <row r="404" spans="8:8" ht="13.5" customHeight="1">
      <c r="H404" s="175"/>
    </row>
    <row r="405" spans="8:8" ht="13.5" customHeight="1">
      <c r="H405" s="175"/>
    </row>
    <row r="406" spans="8:8" ht="13.5" customHeight="1">
      <c r="H406" s="175"/>
    </row>
    <row r="407" spans="8:8" ht="13.5" customHeight="1">
      <c r="H407" s="175"/>
    </row>
    <row r="408" spans="8:8" ht="13.5" customHeight="1">
      <c r="H408" s="175"/>
    </row>
    <row r="409" spans="8:8" ht="13.5" customHeight="1">
      <c r="H409" s="175"/>
    </row>
    <row r="410" spans="8:8" ht="13.5" customHeight="1">
      <c r="H410" s="175"/>
    </row>
    <row r="411" spans="8:8" ht="13.5" customHeight="1">
      <c r="H411" s="175"/>
    </row>
    <row r="412" spans="8:8" ht="13.5" customHeight="1">
      <c r="H412" s="175"/>
    </row>
    <row r="413" spans="8:8" ht="13.5" customHeight="1">
      <c r="H413" s="175"/>
    </row>
    <row r="414" spans="8:8" ht="13.5" customHeight="1">
      <c r="H414" s="175"/>
    </row>
    <row r="415" spans="8:8" ht="13.5" customHeight="1">
      <c r="H415" s="175"/>
    </row>
    <row r="416" spans="8:8" ht="13.5" customHeight="1">
      <c r="H416" s="175"/>
    </row>
    <row r="417" spans="8:8" ht="13.5" customHeight="1">
      <c r="H417" s="175"/>
    </row>
    <row r="418" spans="8:8" ht="13.5" customHeight="1">
      <c r="H418" s="175"/>
    </row>
    <row r="419" spans="8:8" ht="13.5" customHeight="1">
      <c r="H419" s="175"/>
    </row>
    <row r="420" spans="8:8" ht="13.5" customHeight="1">
      <c r="H420" s="175"/>
    </row>
    <row r="421" spans="8:8" ht="13.5" customHeight="1">
      <c r="H421" s="175"/>
    </row>
    <row r="422" spans="8:8" ht="13.5" customHeight="1">
      <c r="H422" s="175"/>
    </row>
    <row r="423" spans="8:8" ht="13.5" customHeight="1">
      <c r="H423" s="175"/>
    </row>
    <row r="424" spans="8:8" ht="13.5" customHeight="1">
      <c r="H424" s="175"/>
    </row>
    <row r="425" spans="8:8" ht="13.5" customHeight="1">
      <c r="H425" s="175"/>
    </row>
    <row r="426" spans="8:8" ht="13.5" customHeight="1">
      <c r="H426" s="175"/>
    </row>
    <row r="427" spans="8:8" ht="13.5" customHeight="1">
      <c r="H427" s="175"/>
    </row>
    <row r="428" spans="8:8" ht="13.5" customHeight="1">
      <c r="H428" s="175"/>
    </row>
    <row r="429" spans="8:8" ht="13.5" customHeight="1">
      <c r="H429" s="175"/>
    </row>
    <row r="430" spans="8:8" ht="13.5" customHeight="1">
      <c r="H430" s="175"/>
    </row>
    <row r="431" spans="8:8" ht="13.5" customHeight="1">
      <c r="H431" s="175"/>
    </row>
    <row r="432" spans="8:8" ht="13.5" customHeight="1">
      <c r="H432" s="175"/>
    </row>
    <row r="433" spans="8:8" ht="13.5" customHeight="1">
      <c r="H433" s="175"/>
    </row>
    <row r="434" spans="8:8" ht="13.5" customHeight="1">
      <c r="H434" s="175"/>
    </row>
    <row r="435" spans="8:8" ht="13.5" customHeight="1">
      <c r="H435" s="175"/>
    </row>
    <row r="436" spans="8:8" ht="13.5" customHeight="1">
      <c r="H436" s="175"/>
    </row>
    <row r="437" spans="8:8" ht="13.5" customHeight="1">
      <c r="H437" s="175"/>
    </row>
    <row r="438" spans="8:8" ht="13.5" customHeight="1">
      <c r="H438" s="175"/>
    </row>
    <row r="439" spans="8:8" ht="13.5" customHeight="1">
      <c r="H439" s="175"/>
    </row>
    <row r="440" spans="8:8" ht="13.5" customHeight="1">
      <c r="H440" s="175"/>
    </row>
    <row r="441" spans="8:8" ht="13.5" customHeight="1">
      <c r="H441" s="175"/>
    </row>
    <row r="442" spans="8:8" ht="13.5" customHeight="1">
      <c r="H442" s="175"/>
    </row>
    <row r="443" spans="8:8" ht="13.5" customHeight="1">
      <c r="H443" s="175"/>
    </row>
    <row r="444" spans="8:8" ht="13.5" customHeight="1">
      <c r="H444" s="175"/>
    </row>
    <row r="445" spans="8:8" ht="13.5" customHeight="1">
      <c r="H445" s="175"/>
    </row>
    <row r="446" spans="8:8" ht="13.5" customHeight="1">
      <c r="H446" s="175"/>
    </row>
    <row r="447" spans="8:8" ht="13.5" customHeight="1">
      <c r="H447" s="175"/>
    </row>
    <row r="448" spans="8:8" ht="13.5" customHeight="1">
      <c r="H448" s="175"/>
    </row>
    <row r="449" spans="8:8" ht="13.5" customHeight="1">
      <c r="H449" s="175"/>
    </row>
    <row r="450" spans="8:8" ht="13.5" customHeight="1">
      <c r="H450" s="175"/>
    </row>
    <row r="451" spans="8:8" ht="13.5" customHeight="1">
      <c r="H451" s="175"/>
    </row>
    <row r="452" spans="8:8" ht="13.5" customHeight="1">
      <c r="H452" s="175"/>
    </row>
    <row r="453" spans="8:8" ht="13.5" customHeight="1">
      <c r="H453" s="175"/>
    </row>
    <row r="454" spans="8:8" ht="13.5" customHeight="1">
      <c r="H454" s="175"/>
    </row>
    <row r="455" spans="8:8" ht="13.5" customHeight="1">
      <c r="H455" s="175"/>
    </row>
    <row r="456" spans="8:8" ht="13.5" customHeight="1">
      <c r="H456" s="175"/>
    </row>
    <row r="457" spans="8:8" ht="13.5" customHeight="1">
      <c r="H457" s="175"/>
    </row>
    <row r="458" spans="8:8" ht="13.5" customHeight="1">
      <c r="H458" s="175"/>
    </row>
    <row r="459" spans="8:8" ht="13.5" customHeight="1">
      <c r="H459" s="175"/>
    </row>
    <row r="460" spans="8:8" ht="13.5" customHeight="1">
      <c r="H460" s="175"/>
    </row>
    <row r="461" spans="8:8" ht="13.5" customHeight="1">
      <c r="H461" s="175"/>
    </row>
    <row r="462" spans="8:8" ht="13.5" customHeight="1">
      <c r="H462" s="175"/>
    </row>
    <row r="463" spans="8:8" ht="13.5" customHeight="1">
      <c r="H463" s="175"/>
    </row>
    <row r="464" spans="8:8" ht="13.5" customHeight="1">
      <c r="H464" s="175"/>
    </row>
    <row r="465" spans="8:8" ht="13.5" customHeight="1">
      <c r="H465" s="175"/>
    </row>
    <row r="466" spans="8:8" ht="13.5" customHeight="1">
      <c r="H466" s="175"/>
    </row>
    <row r="467" spans="8:8" ht="13.5" customHeight="1">
      <c r="H467" s="175"/>
    </row>
    <row r="468" spans="8:8" ht="13.5" customHeight="1">
      <c r="H468" s="175"/>
    </row>
    <row r="469" spans="8:8" ht="13.5" customHeight="1">
      <c r="H469" s="175"/>
    </row>
    <row r="470" spans="8:8" ht="13.5" customHeight="1">
      <c r="H470" s="175"/>
    </row>
    <row r="471" spans="8:8" ht="13.5" customHeight="1">
      <c r="H471" s="175"/>
    </row>
    <row r="472" spans="8:8" ht="13.5" customHeight="1">
      <c r="H472" s="175"/>
    </row>
    <row r="473" spans="8:8" ht="13.5" customHeight="1">
      <c r="H473" s="175"/>
    </row>
    <row r="474" spans="8:8" ht="13.5" customHeight="1">
      <c r="H474" s="175"/>
    </row>
    <row r="475" spans="8:8" ht="13.5" customHeight="1">
      <c r="H475" s="175"/>
    </row>
    <row r="476" spans="8:8" ht="13.5" customHeight="1">
      <c r="H476" s="175"/>
    </row>
    <row r="477" spans="8:8" ht="13.5" customHeight="1">
      <c r="H477" s="175"/>
    </row>
    <row r="478" spans="8:8" ht="13.5" customHeight="1">
      <c r="H478" s="175"/>
    </row>
    <row r="479" spans="8:8" ht="13.5" customHeight="1">
      <c r="H479" s="175"/>
    </row>
    <row r="480" spans="8:8" ht="13.5" customHeight="1">
      <c r="H480" s="175"/>
    </row>
    <row r="481" spans="8:8" ht="13.5" customHeight="1">
      <c r="H481" s="175"/>
    </row>
    <row r="482" spans="8:8" ht="13.5" customHeight="1">
      <c r="H482" s="175"/>
    </row>
    <row r="483" spans="8:8" ht="13.5" customHeight="1">
      <c r="H483" s="175"/>
    </row>
    <row r="484" spans="8:8" ht="13.5" customHeight="1">
      <c r="H484" s="175"/>
    </row>
    <row r="485" spans="8:8" ht="13.5" customHeight="1">
      <c r="H485" s="175"/>
    </row>
    <row r="486" spans="8:8" ht="13.5" customHeight="1">
      <c r="H486" s="175"/>
    </row>
    <row r="487" spans="8:8" ht="13.5" customHeight="1">
      <c r="H487" s="175"/>
    </row>
    <row r="488" spans="8:8" ht="13.5" customHeight="1">
      <c r="H488" s="175"/>
    </row>
    <row r="489" spans="8:8" ht="13.5" customHeight="1">
      <c r="H489" s="175"/>
    </row>
    <row r="490" spans="8:8" ht="13.5" customHeight="1">
      <c r="H490" s="175"/>
    </row>
    <row r="491" spans="8:8" ht="13.5" customHeight="1">
      <c r="H491" s="175"/>
    </row>
    <row r="492" spans="8:8" ht="13.5" customHeight="1">
      <c r="H492" s="175"/>
    </row>
    <row r="493" spans="8:8" ht="13.5" customHeight="1">
      <c r="H493" s="175"/>
    </row>
    <row r="494" spans="8:8" ht="13.5" customHeight="1">
      <c r="H494" s="175"/>
    </row>
    <row r="495" spans="8:8" ht="13.5" customHeight="1">
      <c r="H495" s="175"/>
    </row>
    <row r="496" spans="8:8" ht="13.5" customHeight="1">
      <c r="H496" s="175"/>
    </row>
    <row r="497" spans="8:8" ht="13.5" customHeight="1">
      <c r="H497" s="175"/>
    </row>
    <row r="498" spans="8:8" ht="13.5" customHeight="1">
      <c r="H498" s="175"/>
    </row>
    <row r="499" spans="8:8" ht="13.5" customHeight="1">
      <c r="H499" s="175"/>
    </row>
    <row r="500" spans="8:8" ht="13.5" customHeight="1">
      <c r="H500" s="175"/>
    </row>
    <row r="501" spans="8:8" ht="13.5" customHeight="1">
      <c r="H501" s="175"/>
    </row>
    <row r="502" spans="8:8" ht="13.5" customHeight="1">
      <c r="H502" s="175"/>
    </row>
    <row r="503" spans="8:8" ht="13.5" customHeight="1">
      <c r="H503" s="175"/>
    </row>
    <row r="504" spans="8:8" ht="13.5" customHeight="1">
      <c r="H504" s="175"/>
    </row>
    <row r="505" spans="8:8" ht="13.5" customHeight="1">
      <c r="H505" s="175"/>
    </row>
    <row r="506" spans="8:8" ht="13.5" customHeight="1">
      <c r="H506" s="175"/>
    </row>
    <row r="507" spans="8:8" ht="13.5" customHeight="1">
      <c r="H507" s="175"/>
    </row>
    <row r="508" spans="8:8" ht="13.5" customHeight="1">
      <c r="H508" s="175"/>
    </row>
    <row r="509" spans="8:8" ht="13.5" customHeight="1">
      <c r="H509" s="175"/>
    </row>
    <row r="510" spans="8:8" ht="13.5" customHeight="1">
      <c r="H510" s="175"/>
    </row>
    <row r="511" spans="8:8" ht="13.5" customHeight="1">
      <c r="H511" s="175"/>
    </row>
    <row r="512" spans="8:8" ht="13.5" customHeight="1">
      <c r="H512" s="175"/>
    </row>
    <row r="513" spans="8:8" ht="13.5" customHeight="1">
      <c r="H513" s="175"/>
    </row>
    <row r="514" spans="8:8" ht="13.5" customHeight="1">
      <c r="H514" s="175"/>
    </row>
    <row r="515" spans="8:8" ht="13.5" customHeight="1">
      <c r="H515" s="175"/>
    </row>
    <row r="516" spans="8:8" ht="13.5" customHeight="1">
      <c r="H516" s="175"/>
    </row>
    <row r="517" spans="8:8" ht="13.5" customHeight="1">
      <c r="H517" s="175"/>
    </row>
    <row r="518" spans="8:8" ht="13.5" customHeight="1">
      <c r="H518" s="175"/>
    </row>
    <row r="519" spans="8:8" ht="13.5" customHeight="1">
      <c r="H519" s="175"/>
    </row>
    <row r="520" spans="8:8" ht="13.5" customHeight="1">
      <c r="H520" s="175"/>
    </row>
    <row r="521" spans="8:8" ht="13.5" customHeight="1">
      <c r="H521" s="175"/>
    </row>
    <row r="522" spans="8:8" ht="13.5" customHeight="1">
      <c r="H522" s="175"/>
    </row>
    <row r="523" spans="8:8" ht="13.5" customHeight="1">
      <c r="H523" s="175"/>
    </row>
    <row r="524" spans="8:8" ht="13.5" customHeight="1">
      <c r="H524" s="175"/>
    </row>
    <row r="525" spans="8:8" ht="13.5" customHeight="1">
      <c r="H525" s="175"/>
    </row>
    <row r="526" spans="8:8" ht="13.5" customHeight="1">
      <c r="H526" s="175"/>
    </row>
    <row r="527" spans="8:8" ht="13.5" customHeight="1">
      <c r="H527" s="175"/>
    </row>
    <row r="528" spans="8:8" ht="13.5" customHeight="1">
      <c r="H528" s="175"/>
    </row>
    <row r="529" spans="8:8" ht="13.5" customHeight="1">
      <c r="H529" s="175"/>
    </row>
    <row r="530" spans="8:8" ht="13.5" customHeight="1">
      <c r="H530" s="175"/>
    </row>
    <row r="531" spans="8:8" ht="13.5" customHeight="1">
      <c r="H531" s="175"/>
    </row>
    <row r="532" spans="8:8" ht="13.5" customHeight="1">
      <c r="H532" s="175"/>
    </row>
    <row r="533" spans="8:8" ht="13.5" customHeight="1">
      <c r="H533" s="175"/>
    </row>
    <row r="534" spans="8:8" ht="13.5" customHeight="1">
      <c r="H534" s="175"/>
    </row>
    <row r="535" spans="8:8" ht="13.5" customHeight="1">
      <c r="H535" s="175"/>
    </row>
    <row r="536" spans="8:8" ht="13.5" customHeight="1">
      <c r="H536" s="175"/>
    </row>
    <row r="537" spans="8:8" ht="13.5" customHeight="1">
      <c r="H537" s="175"/>
    </row>
    <row r="538" spans="8:8" ht="13.5" customHeight="1">
      <c r="H538" s="175"/>
    </row>
    <row r="539" spans="8:8" ht="13.5" customHeight="1">
      <c r="H539" s="175"/>
    </row>
    <row r="540" spans="8:8" ht="13.5" customHeight="1">
      <c r="H540" s="175"/>
    </row>
    <row r="541" spans="8:8" ht="13.5" customHeight="1">
      <c r="H541" s="175"/>
    </row>
    <row r="542" spans="8:8" ht="13.5" customHeight="1">
      <c r="H542" s="175"/>
    </row>
    <row r="543" spans="8:8" ht="13.5" customHeight="1">
      <c r="H543" s="175"/>
    </row>
    <row r="544" spans="8:8" ht="13.5" customHeight="1">
      <c r="H544" s="175"/>
    </row>
    <row r="545" spans="8:8" ht="13.5" customHeight="1">
      <c r="H545" s="175"/>
    </row>
    <row r="546" spans="8:8" ht="13.5" customHeight="1">
      <c r="H546" s="175"/>
    </row>
    <row r="547" spans="8:8" ht="13.5" customHeight="1">
      <c r="H547" s="175"/>
    </row>
    <row r="548" spans="8:8" ht="13.5" customHeight="1">
      <c r="H548" s="175"/>
    </row>
    <row r="549" spans="8:8" ht="13.5" customHeight="1">
      <c r="H549" s="175"/>
    </row>
    <row r="550" spans="8:8" ht="13.5" customHeight="1">
      <c r="H550" s="175"/>
    </row>
    <row r="551" spans="8:8" ht="13.5" customHeight="1">
      <c r="H551" s="175"/>
    </row>
    <row r="552" spans="8:8" ht="13.5" customHeight="1">
      <c r="H552" s="175"/>
    </row>
    <row r="553" spans="8:8" ht="13.5" customHeight="1">
      <c r="H553" s="175"/>
    </row>
    <row r="554" spans="8:8" ht="13.5" customHeight="1">
      <c r="H554" s="175"/>
    </row>
    <row r="555" spans="8:8" ht="13.5" customHeight="1">
      <c r="H555" s="175"/>
    </row>
    <row r="556" spans="8:8" ht="13.5" customHeight="1">
      <c r="H556" s="175"/>
    </row>
    <row r="557" spans="8:8" ht="13.5" customHeight="1">
      <c r="H557" s="175"/>
    </row>
    <row r="558" spans="8:8" ht="13.5" customHeight="1">
      <c r="H558" s="175"/>
    </row>
    <row r="559" spans="8:8" ht="13.5" customHeight="1">
      <c r="H559" s="175"/>
    </row>
    <row r="560" spans="8:8" ht="13.5" customHeight="1">
      <c r="H560" s="175"/>
    </row>
    <row r="561" spans="8:8" ht="13.5" customHeight="1">
      <c r="H561" s="175"/>
    </row>
    <row r="562" spans="8:8" ht="13.5" customHeight="1">
      <c r="H562" s="175"/>
    </row>
    <row r="563" spans="8:8" ht="13.5" customHeight="1">
      <c r="H563" s="175"/>
    </row>
    <row r="564" spans="8:8" ht="13.5" customHeight="1">
      <c r="H564" s="175"/>
    </row>
    <row r="565" spans="8:8" ht="13.5" customHeight="1">
      <c r="H565" s="175"/>
    </row>
    <row r="566" spans="8:8" ht="13.5" customHeight="1">
      <c r="H566" s="175"/>
    </row>
    <row r="567" spans="8:8" ht="13.5" customHeight="1">
      <c r="H567" s="175"/>
    </row>
    <row r="568" spans="8:8" ht="13.5" customHeight="1">
      <c r="H568" s="175"/>
    </row>
    <row r="569" spans="8:8" ht="13.5" customHeight="1">
      <c r="H569" s="175"/>
    </row>
    <row r="570" spans="8:8" ht="13.5" customHeight="1">
      <c r="H570" s="175"/>
    </row>
    <row r="571" spans="8:8" ht="13.5" customHeight="1">
      <c r="H571" s="175"/>
    </row>
    <row r="572" spans="8:8" ht="13.5" customHeight="1">
      <c r="H572" s="175"/>
    </row>
    <row r="573" spans="8:8" ht="13.5" customHeight="1">
      <c r="H573" s="175"/>
    </row>
    <row r="574" spans="8:8" ht="13.5" customHeight="1">
      <c r="H574" s="175"/>
    </row>
    <row r="575" spans="8:8" ht="13.5" customHeight="1">
      <c r="H575" s="175"/>
    </row>
    <row r="576" spans="8:8" ht="13.5" customHeight="1">
      <c r="H576" s="175"/>
    </row>
    <row r="577" spans="8:8" ht="13.5" customHeight="1">
      <c r="H577" s="175"/>
    </row>
    <row r="578" spans="8:8" ht="13.5" customHeight="1">
      <c r="H578" s="175"/>
    </row>
    <row r="579" spans="8:8" ht="13.5" customHeight="1">
      <c r="H579" s="175"/>
    </row>
    <row r="580" spans="8:8" ht="13.5" customHeight="1">
      <c r="H580" s="175"/>
    </row>
    <row r="581" spans="8:8" ht="13.5" customHeight="1">
      <c r="H581" s="175"/>
    </row>
    <row r="582" spans="8:8" ht="13.5" customHeight="1">
      <c r="H582" s="175"/>
    </row>
    <row r="583" spans="8:8" ht="13.5" customHeight="1">
      <c r="H583" s="175"/>
    </row>
    <row r="584" spans="8:8" ht="13.5" customHeight="1">
      <c r="H584" s="175"/>
    </row>
    <row r="585" spans="8:8" ht="13.5" customHeight="1">
      <c r="H585" s="175"/>
    </row>
    <row r="586" spans="8:8" ht="13.5" customHeight="1">
      <c r="H586" s="175"/>
    </row>
    <row r="587" spans="8:8" ht="13.5" customHeight="1">
      <c r="H587" s="175"/>
    </row>
    <row r="588" spans="8:8" ht="13.5" customHeight="1">
      <c r="H588" s="175"/>
    </row>
    <row r="589" spans="8:8" ht="13.5" customHeight="1">
      <c r="H589" s="175"/>
    </row>
    <row r="590" spans="8:8" ht="13.5" customHeight="1">
      <c r="H590" s="175"/>
    </row>
    <row r="591" spans="8:8" ht="13.5" customHeight="1">
      <c r="H591" s="175"/>
    </row>
    <row r="592" spans="8:8" ht="13.5" customHeight="1">
      <c r="H592" s="175"/>
    </row>
    <row r="593" spans="8:8" ht="13.5" customHeight="1">
      <c r="H593" s="175"/>
    </row>
    <row r="594" spans="8:8" ht="13.5" customHeight="1">
      <c r="H594" s="175"/>
    </row>
    <row r="595" spans="8:8" ht="13.5" customHeight="1">
      <c r="H595" s="175"/>
    </row>
    <row r="596" spans="8:8" ht="13.5" customHeight="1">
      <c r="H596" s="175"/>
    </row>
    <row r="597" spans="8:8" ht="13.5" customHeight="1">
      <c r="H597" s="175"/>
    </row>
    <row r="598" spans="8:8" ht="13.5" customHeight="1">
      <c r="H598" s="175"/>
    </row>
    <row r="599" spans="8:8" ht="13.5" customHeight="1">
      <c r="H599" s="175"/>
    </row>
    <row r="600" spans="8:8" ht="13.5" customHeight="1">
      <c r="H600" s="175"/>
    </row>
    <row r="601" spans="8:8" ht="13.5" customHeight="1">
      <c r="H601" s="175"/>
    </row>
    <row r="602" spans="8:8" ht="13.5" customHeight="1">
      <c r="H602" s="175"/>
    </row>
    <row r="603" spans="8:8" ht="13.5" customHeight="1">
      <c r="H603" s="175"/>
    </row>
    <row r="604" spans="8:8" ht="13.5" customHeight="1">
      <c r="H604" s="175"/>
    </row>
    <row r="605" spans="8:8" ht="13.5" customHeight="1">
      <c r="H605" s="175"/>
    </row>
    <row r="606" spans="8:8" ht="13.5" customHeight="1">
      <c r="H606" s="175"/>
    </row>
    <row r="607" spans="8:8" ht="13.5" customHeight="1">
      <c r="H607" s="175"/>
    </row>
    <row r="608" spans="8:8" ht="13.5" customHeight="1">
      <c r="H608" s="175"/>
    </row>
    <row r="609" spans="8:8" ht="13.5" customHeight="1">
      <c r="H609" s="175"/>
    </row>
    <row r="610" spans="8:8" ht="13.5" customHeight="1">
      <c r="H610" s="175"/>
    </row>
    <row r="611" spans="8:8" ht="13.5" customHeight="1">
      <c r="H611" s="175"/>
    </row>
    <row r="612" spans="8:8" ht="13.5" customHeight="1">
      <c r="H612" s="175"/>
    </row>
    <row r="613" spans="8:8" ht="13.5" customHeight="1">
      <c r="H613" s="175"/>
    </row>
    <row r="614" spans="8:8" ht="13.5" customHeight="1">
      <c r="H614" s="175"/>
    </row>
    <row r="615" spans="8:8" ht="13.5" customHeight="1">
      <c r="H615" s="175"/>
    </row>
    <row r="616" spans="8:8" ht="13.5" customHeight="1">
      <c r="H616" s="175"/>
    </row>
    <row r="617" spans="8:8" ht="13.5" customHeight="1">
      <c r="H617" s="175"/>
    </row>
    <row r="618" spans="8:8" ht="13.5" customHeight="1">
      <c r="H618" s="175"/>
    </row>
    <row r="619" spans="8:8" ht="13.5" customHeight="1">
      <c r="H619" s="175"/>
    </row>
    <row r="620" spans="8:8" ht="13.5" customHeight="1">
      <c r="H620" s="175"/>
    </row>
    <row r="621" spans="8:8" ht="13.5" customHeight="1">
      <c r="H621" s="175"/>
    </row>
    <row r="622" spans="8:8" ht="13.5" customHeight="1">
      <c r="H622" s="175"/>
    </row>
    <row r="623" spans="8:8" ht="13.5" customHeight="1">
      <c r="H623" s="175"/>
    </row>
    <row r="624" spans="8:8" ht="13.5" customHeight="1">
      <c r="H624" s="175"/>
    </row>
    <row r="625" spans="8:8" ht="13.5" customHeight="1">
      <c r="H625" s="175"/>
    </row>
    <row r="626" spans="8:8" ht="13.5" customHeight="1">
      <c r="H626" s="175"/>
    </row>
    <row r="627" spans="8:8" ht="13.5" customHeight="1">
      <c r="H627" s="175"/>
    </row>
    <row r="628" spans="8:8" ht="13.5" customHeight="1">
      <c r="H628" s="175"/>
    </row>
    <row r="629" spans="8:8" ht="13.5" customHeight="1">
      <c r="H629" s="175"/>
    </row>
    <row r="630" spans="8:8" ht="13.5" customHeight="1">
      <c r="H630" s="175"/>
    </row>
    <row r="631" spans="8:8" ht="13.5" customHeight="1">
      <c r="H631" s="175"/>
    </row>
    <row r="632" spans="8:8" ht="13.5" customHeight="1">
      <c r="H632" s="175"/>
    </row>
    <row r="633" spans="8:8" ht="13.5" customHeight="1">
      <c r="H633" s="175"/>
    </row>
    <row r="634" spans="8:8" ht="13.5" customHeight="1">
      <c r="H634" s="175"/>
    </row>
    <row r="635" spans="8:8" ht="13.5" customHeight="1">
      <c r="H635" s="175"/>
    </row>
    <row r="636" spans="8:8" ht="13.5" customHeight="1">
      <c r="H636" s="175"/>
    </row>
    <row r="637" spans="8:8" ht="13.5" customHeight="1">
      <c r="H637" s="175"/>
    </row>
    <row r="638" spans="8:8" ht="13.5" customHeight="1">
      <c r="H638" s="175"/>
    </row>
    <row r="639" spans="8:8" ht="13.5" customHeight="1">
      <c r="H639" s="175"/>
    </row>
    <row r="640" spans="8:8" ht="13.5" customHeight="1">
      <c r="H640" s="175"/>
    </row>
    <row r="641" spans="8:8" ht="13.5" customHeight="1">
      <c r="H641" s="175"/>
    </row>
    <row r="642" spans="8:8" ht="13.5" customHeight="1">
      <c r="H642" s="175"/>
    </row>
    <row r="643" spans="8:8" ht="13.5" customHeight="1">
      <c r="H643" s="175"/>
    </row>
    <row r="644" spans="8:8" ht="13.5" customHeight="1">
      <c r="H644" s="175"/>
    </row>
    <row r="645" spans="8:8" ht="13.5" customHeight="1">
      <c r="H645" s="175"/>
    </row>
    <row r="646" spans="8:8" ht="13.5" customHeight="1">
      <c r="H646" s="175"/>
    </row>
    <row r="647" spans="8:8" ht="13.5" customHeight="1">
      <c r="H647" s="175"/>
    </row>
    <row r="648" spans="8:8" ht="13.5" customHeight="1">
      <c r="H648" s="175"/>
    </row>
    <row r="649" spans="8:8" ht="13.5" customHeight="1">
      <c r="H649" s="175"/>
    </row>
    <row r="650" spans="8:8" ht="13.5" customHeight="1">
      <c r="H650" s="175"/>
    </row>
    <row r="651" spans="8:8" ht="13.5" customHeight="1">
      <c r="H651" s="175"/>
    </row>
    <row r="652" spans="8:8" ht="13.5" customHeight="1">
      <c r="H652" s="175"/>
    </row>
    <row r="653" spans="8:8" ht="13.5" customHeight="1">
      <c r="H653" s="175"/>
    </row>
    <row r="654" spans="8:8" ht="13.5" customHeight="1">
      <c r="H654" s="175"/>
    </row>
    <row r="655" spans="8:8" ht="13.5" customHeight="1">
      <c r="H655" s="175"/>
    </row>
    <row r="656" spans="8:8" ht="13.5" customHeight="1">
      <c r="H656" s="175"/>
    </row>
    <row r="657" spans="8:8" ht="13.5" customHeight="1">
      <c r="H657" s="175"/>
    </row>
    <row r="658" spans="8:8" ht="13.5" customHeight="1">
      <c r="H658" s="175"/>
    </row>
    <row r="659" spans="8:8" ht="13.5" customHeight="1">
      <c r="H659" s="175"/>
    </row>
    <row r="660" spans="8:8" ht="13.5" customHeight="1">
      <c r="H660" s="175"/>
    </row>
    <row r="661" spans="8:8" ht="13.5" customHeight="1">
      <c r="H661" s="175"/>
    </row>
    <row r="662" spans="8:8" ht="13.5" customHeight="1">
      <c r="H662" s="175"/>
    </row>
    <row r="663" spans="8:8" ht="13.5" customHeight="1">
      <c r="H663" s="175"/>
    </row>
    <row r="664" spans="8:8" ht="13.5" customHeight="1">
      <c r="H664" s="175"/>
    </row>
    <row r="665" spans="8:8" ht="13.5" customHeight="1">
      <c r="H665" s="175"/>
    </row>
    <row r="666" spans="8:8" ht="13.5" customHeight="1">
      <c r="H666" s="175"/>
    </row>
    <row r="667" spans="8:8" ht="13.5" customHeight="1">
      <c r="H667" s="175"/>
    </row>
    <row r="668" spans="8:8" ht="13.5" customHeight="1">
      <c r="H668" s="175"/>
    </row>
    <row r="669" spans="8:8" ht="13.5" customHeight="1">
      <c r="H669" s="175"/>
    </row>
    <row r="670" spans="8:8" ht="13.5" customHeight="1">
      <c r="H670" s="175"/>
    </row>
    <row r="671" spans="8:8" ht="13.5" customHeight="1">
      <c r="H671" s="175"/>
    </row>
    <row r="672" spans="8:8" ht="13.5" customHeight="1">
      <c r="H672" s="175"/>
    </row>
    <row r="673" spans="8:8" ht="13.5" customHeight="1">
      <c r="H673" s="175"/>
    </row>
    <row r="674" spans="8:8" ht="13.5" customHeight="1">
      <c r="H674" s="175"/>
    </row>
    <row r="675" spans="8:8" ht="13.5" customHeight="1">
      <c r="H675" s="175"/>
    </row>
    <row r="676" spans="8:8" ht="13.5" customHeight="1">
      <c r="H676" s="175"/>
    </row>
    <row r="677" spans="8:8" ht="13.5" customHeight="1">
      <c r="H677" s="175"/>
    </row>
    <row r="678" spans="8:8" ht="13.5" customHeight="1">
      <c r="H678" s="175"/>
    </row>
    <row r="679" spans="8:8" ht="13.5" customHeight="1">
      <c r="H679" s="175"/>
    </row>
    <row r="680" spans="8:8" ht="13.5" customHeight="1">
      <c r="H680" s="175"/>
    </row>
    <row r="681" spans="8:8" ht="13.5" customHeight="1">
      <c r="H681" s="175"/>
    </row>
    <row r="682" spans="8:8" ht="13.5" customHeight="1">
      <c r="H682" s="175"/>
    </row>
    <row r="683" spans="8:8" ht="13.5" customHeight="1">
      <c r="H683" s="175"/>
    </row>
    <row r="684" spans="8:8" ht="13.5" customHeight="1">
      <c r="H684" s="175"/>
    </row>
    <row r="685" spans="8:8" ht="13.5" customHeight="1">
      <c r="H685" s="175"/>
    </row>
    <row r="686" spans="8:8" ht="13.5" customHeight="1">
      <c r="H686" s="175"/>
    </row>
    <row r="687" spans="8:8" ht="13.5" customHeight="1">
      <c r="H687" s="175"/>
    </row>
    <row r="688" spans="8:8" ht="13.5" customHeight="1">
      <c r="H688" s="175"/>
    </row>
    <row r="689" spans="8:8" ht="13.5" customHeight="1">
      <c r="H689" s="175"/>
    </row>
    <row r="690" spans="8:8" ht="13.5" customHeight="1">
      <c r="H690" s="175"/>
    </row>
    <row r="691" spans="8:8" ht="13.5" customHeight="1">
      <c r="H691" s="175"/>
    </row>
    <row r="692" spans="8:8" ht="13.5" customHeight="1">
      <c r="H692" s="175"/>
    </row>
    <row r="693" spans="8:8" ht="13.5" customHeight="1">
      <c r="H693" s="175"/>
    </row>
    <row r="694" spans="8:8" ht="13.5" customHeight="1">
      <c r="H694" s="175"/>
    </row>
    <row r="695" spans="8:8" ht="13.5" customHeight="1">
      <c r="H695" s="175"/>
    </row>
    <row r="696" spans="8:8" ht="13.5" customHeight="1">
      <c r="H696" s="175"/>
    </row>
    <row r="697" spans="8:8" ht="13.5" customHeight="1">
      <c r="H697" s="175"/>
    </row>
    <row r="698" spans="8:8" ht="13.5" customHeight="1">
      <c r="H698" s="175"/>
    </row>
    <row r="699" spans="8:8" ht="13.5" customHeight="1">
      <c r="H699" s="175"/>
    </row>
    <row r="700" spans="8:8" ht="13.5" customHeight="1">
      <c r="H700" s="175"/>
    </row>
    <row r="701" spans="8:8" ht="13.5" customHeight="1">
      <c r="H701" s="175"/>
    </row>
    <row r="702" spans="8:8" ht="13.5" customHeight="1">
      <c r="H702" s="175"/>
    </row>
    <row r="703" spans="8:8" ht="13.5" customHeight="1">
      <c r="H703" s="175"/>
    </row>
    <row r="704" spans="8:8" ht="13.5" customHeight="1">
      <c r="H704" s="175"/>
    </row>
    <row r="705" spans="8:8" ht="13.5" customHeight="1">
      <c r="H705" s="175"/>
    </row>
    <row r="706" spans="8:8" ht="13.5" customHeight="1">
      <c r="H706" s="175"/>
    </row>
    <row r="707" spans="8:8" ht="13.5" customHeight="1">
      <c r="H707" s="175"/>
    </row>
    <row r="708" spans="8:8" ht="13.5" customHeight="1">
      <c r="H708" s="175"/>
    </row>
    <row r="709" spans="8:8" ht="13.5" customHeight="1">
      <c r="H709" s="175"/>
    </row>
    <row r="710" spans="8:8" ht="13.5" customHeight="1">
      <c r="H710" s="175"/>
    </row>
    <row r="711" spans="8:8" ht="13.5" customHeight="1">
      <c r="H711" s="175"/>
    </row>
    <row r="712" spans="8:8" ht="13.5" customHeight="1">
      <c r="H712" s="175"/>
    </row>
    <row r="713" spans="8:8" ht="13.5" customHeight="1">
      <c r="H713" s="175"/>
    </row>
    <row r="714" spans="8:8" ht="13.5" customHeight="1">
      <c r="H714" s="175"/>
    </row>
    <row r="715" spans="8:8" ht="13.5" customHeight="1">
      <c r="H715" s="175"/>
    </row>
    <row r="716" spans="8:8" ht="13.5" customHeight="1">
      <c r="H716" s="175"/>
    </row>
    <row r="717" spans="8:8" ht="13.5" customHeight="1">
      <c r="H717" s="175"/>
    </row>
    <row r="718" spans="8:8" ht="13.5" customHeight="1">
      <c r="H718" s="175"/>
    </row>
    <row r="719" spans="8:8" ht="13.5" customHeight="1">
      <c r="H719" s="175"/>
    </row>
    <row r="720" spans="8:8" ht="13.5" customHeight="1">
      <c r="H720" s="175"/>
    </row>
    <row r="721" spans="8:8" ht="13.5" customHeight="1">
      <c r="H721" s="175"/>
    </row>
    <row r="722" spans="8:8" ht="13.5" customHeight="1">
      <c r="H722" s="175"/>
    </row>
    <row r="723" spans="8:8" ht="13.5" customHeight="1">
      <c r="H723" s="175"/>
    </row>
    <row r="724" spans="8:8" ht="13.5" customHeight="1">
      <c r="H724" s="175"/>
    </row>
    <row r="725" spans="8:8" ht="13.5" customHeight="1">
      <c r="H725" s="175"/>
    </row>
    <row r="726" spans="8:8" ht="13.5" customHeight="1">
      <c r="H726" s="175"/>
    </row>
    <row r="727" spans="8:8" ht="13.5" customHeight="1">
      <c r="H727" s="175"/>
    </row>
    <row r="728" spans="8:8" ht="13.5" customHeight="1">
      <c r="H728" s="175"/>
    </row>
    <row r="729" spans="8:8" ht="13.5" customHeight="1">
      <c r="H729" s="175"/>
    </row>
    <row r="730" spans="8:8" ht="13.5" customHeight="1">
      <c r="H730" s="175"/>
    </row>
    <row r="731" spans="8:8" ht="13.5" customHeight="1">
      <c r="H731" s="175"/>
    </row>
    <row r="732" spans="8:8" ht="13.5" customHeight="1">
      <c r="H732" s="175"/>
    </row>
    <row r="733" spans="8:8" ht="13.5" customHeight="1">
      <c r="H733" s="175"/>
    </row>
    <row r="734" spans="8:8" ht="13.5" customHeight="1">
      <c r="H734" s="175"/>
    </row>
    <row r="735" spans="8:8" ht="13.5" customHeight="1">
      <c r="H735" s="175"/>
    </row>
    <row r="736" spans="8:8" ht="13.5" customHeight="1">
      <c r="H736" s="175"/>
    </row>
    <row r="737" spans="8:8" ht="13.5" customHeight="1">
      <c r="H737" s="175"/>
    </row>
    <row r="738" spans="8:8" ht="13.5" customHeight="1">
      <c r="H738" s="175"/>
    </row>
    <row r="739" spans="8:8" ht="13.5" customHeight="1">
      <c r="H739" s="175"/>
    </row>
    <row r="740" spans="8:8" ht="13.5" customHeight="1">
      <c r="H740" s="175"/>
    </row>
    <row r="741" spans="8:8" ht="13.5" customHeight="1">
      <c r="H741" s="175"/>
    </row>
    <row r="742" spans="8:8" ht="13.5" customHeight="1">
      <c r="H742" s="175"/>
    </row>
    <row r="743" spans="8:8" ht="13.5" customHeight="1">
      <c r="H743" s="175"/>
    </row>
    <row r="744" spans="8:8" ht="13.5" customHeight="1">
      <c r="H744" s="175"/>
    </row>
    <row r="745" spans="8:8" ht="13.5" customHeight="1">
      <c r="H745" s="175"/>
    </row>
    <row r="746" spans="8:8" ht="13.5" customHeight="1">
      <c r="H746" s="175"/>
    </row>
    <row r="747" spans="8:8" ht="13.5" customHeight="1">
      <c r="H747" s="175"/>
    </row>
    <row r="748" spans="8:8" ht="13.5" customHeight="1">
      <c r="H748" s="175"/>
    </row>
    <row r="749" spans="8:8" ht="13.5" customHeight="1">
      <c r="H749" s="175"/>
    </row>
    <row r="750" spans="8:8" ht="13.5" customHeight="1">
      <c r="H750" s="175"/>
    </row>
    <row r="751" spans="8:8" ht="13.5" customHeight="1">
      <c r="H751" s="175"/>
    </row>
    <row r="752" spans="8:8" ht="13.5" customHeight="1">
      <c r="H752" s="175"/>
    </row>
    <row r="753" spans="8:8" ht="13.5" customHeight="1">
      <c r="H753" s="175"/>
    </row>
    <row r="754" spans="8:8" ht="13.5" customHeight="1">
      <c r="H754" s="175"/>
    </row>
    <row r="755" spans="8:8" ht="13.5" customHeight="1">
      <c r="H755" s="175"/>
    </row>
    <row r="756" spans="8:8" ht="13.5" customHeight="1">
      <c r="H756" s="175"/>
    </row>
    <row r="757" spans="8:8" ht="13.5" customHeight="1">
      <c r="H757" s="175"/>
    </row>
    <row r="758" spans="8:8" ht="13.5" customHeight="1">
      <c r="H758" s="175"/>
    </row>
    <row r="759" spans="8:8" ht="13.5" customHeight="1">
      <c r="H759" s="175"/>
    </row>
    <row r="760" spans="8:8" ht="13.5" customHeight="1">
      <c r="H760" s="175"/>
    </row>
    <row r="761" spans="8:8" ht="13.5" customHeight="1">
      <c r="H761" s="175"/>
    </row>
    <row r="762" spans="8:8" ht="13.5" customHeight="1">
      <c r="H762" s="175"/>
    </row>
    <row r="763" spans="8:8" ht="13.5" customHeight="1">
      <c r="H763" s="175"/>
    </row>
    <row r="764" spans="8:8" ht="13.5" customHeight="1">
      <c r="H764" s="175"/>
    </row>
    <row r="765" spans="8:8" ht="13.5" customHeight="1">
      <c r="H765" s="175"/>
    </row>
    <row r="766" spans="8:8" ht="13.5" customHeight="1">
      <c r="H766" s="175"/>
    </row>
    <row r="767" spans="8:8" ht="13.5" customHeight="1">
      <c r="H767" s="175"/>
    </row>
    <row r="768" spans="8:8" ht="13.5" customHeight="1">
      <c r="H768" s="175"/>
    </row>
    <row r="769" spans="8:8" ht="13.5" customHeight="1">
      <c r="H769" s="175"/>
    </row>
    <row r="770" spans="8:8" ht="13.5" customHeight="1">
      <c r="H770" s="175"/>
    </row>
    <row r="771" spans="8:8" ht="13.5" customHeight="1">
      <c r="H771" s="175"/>
    </row>
    <row r="772" spans="8:8" ht="13.5" customHeight="1">
      <c r="H772" s="175"/>
    </row>
    <row r="773" spans="8:8" ht="13.5" customHeight="1">
      <c r="H773" s="175"/>
    </row>
    <row r="774" spans="8:8" ht="13.5" customHeight="1">
      <c r="H774" s="175"/>
    </row>
    <row r="775" spans="8:8" ht="13.5" customHeight="1">
      <c r="H775" s="175"/>
    </row>
    <row r="776" spans="8:8" ht="13.5" customHeight="1">
      <c r="H776" s="175"/>
    </row>
    <row r="777" spans="8:8" ht="13.5" customHeight="1">
      <c r="H777" s="175"/>
    </row>
    <row r="778" spans="8:8" ht="13.5" customHeight="1">
      <c r="H778" s="175"/>
    </row>
    <row r="779" spans="8:8" ht="13.5" customHeight="1">
      <c r="H779" s="175"/>
    </row>
    <row r="780" spans="8:8" ht="13.5" customHeight="1">
      <c r="H780" s="175"/>
    </row>
    <row r="781" spans="8:8" ht="13.5" customHeight="1">
      <c r="H781" s="175"/>
    </row>
    <row r="782" spans="8:8" ht="13.5" customHeight="1">
      <c r="H782" s="175"/>
    </row>
    <row r="783" spans="8:8" ht="13.5" customHeight="1">
      <c r="H783" s="175"/>
    </row>
    <row r="784" spans="8:8" ht="13.5" customHeight="1">
      <c r="H784" s="175"/>
    </row>
    <row r="785" spans="8:8" ht="13.5" customHeight="1">
      <c r="H785" s="175"/>
    </row>
    <row r="786" spans="8:8" ht="13.5" customHeight="1">
      <c r="H786" s="175"/>
    </row>
    <row r="787" spans="8:8" ht="13.5" customHeight="1">
      <c r="H787" s="175"/>
    </row>
    <row r="788" spans="8:8" ht="13.5" customHeight="1">
      <c r="H788" s="175"/>
    </row>
    <row r="789" spans="8:8" ht="13.5" customHeight="1">
      <c r="H789" s="175"/>
    </row>
    <row r="790" spans="8:8" ht="13.5" customHeight="1">
      <c r="H790" s="175"/>
    </row>
    <row r="791" spans="8:8" ht="13.5" customHeight="1">
      <c r="H791" s="175"/>
    </row>
    <row r="792" spans="8:8" ht="13.5" customHeight="1">
      <c r="H792" s="175"/>
    </row>
    <row r="793" spans="8:8" ht="13.5" customHeight="1">
      <c r="H793" s="175"/>
    </row>
    <row r="794" spans="8:8" ht="13.5" customHeight="1">
      <c r="H794" s="175"/>
    </row>
    <row r="795" spans="8:8" ht="13.5" customHeight="1">
      <c r="H795" s="175"/>
    </row>
    <row r="796" spans="8:8" ht="13.5" customHeight="1">
      <c r="H796" s="175"/>
    </row>
    <row r="797" spans="8:8" ht="13.5" customHeight="1">
      <c r="H797" s="175"/>
    </row>
    <row r="798" spans="8:8" ht="13.5" customHeight="1">
      <c r="H798" s="175"/>
    </row>
    <row r="799" spans="8:8" ht="13.5" customHeight="1">
      <c r="H799" s="175"/>
    </row>
    <row r="800" spans="8:8" ht="13.5" customHeight="1">
      <c r="H800" s="175"/>
    </row>
    <row r="801" spans="8:8" ht="13.5" customHeight="1">
      <c r="H801" s="175"/>
    </row>
    <row r="802" spans="8:8" ht="13.5" customHeight="1">
      <c r="H802" s="175"/>
    </row>
    <row r="803" spans="8:8" ht="13.5" customHeight="1">
      <c r="H803" s="175"/>
    </row>
    <row r="804" spans="8:8" ht="13.5" customHeight="1">
      <c r="H804" s="175"/>
    </row>
    <row r="805" spans="8:8" ht="13.5" customHeight="1">
      <c r="H805" s="175"/>
    </row>
    <row r="806" spans="8:8" ht="13.5" customHeight="1">
      <c r="H806" s="175"/>
    </row>
    <row r="807" spans="8:8" ht="13.5" customHeight="1">
      <c r="H807" s="175"/>
    </row>
    <row r="808" spans="8:8" ht="13.5" customHeight="1">
      <c r="H808" s="175"/>
    </row>
    <row r="809" spans="8:8" ht="13.5" customHeight="1">
      <c r="H809" s="175"/>
    </row>
    <row r="810" spans="8:8" ht="13.5" customHeight="1">
      <c r="H810" s="175"/>
    </row>
    <row r="811" spans="8:8" ht="13.5" customHeight="1">
      <c r="H811" s="175"/>
    </row>
    <row r="812" spans="8:8" ht="13.5" customHeight="1">
      <c r="H812" s="175"/>
    </row>
    <row r="813" spans="8:8" ht="13.5" customHeight="1">
      <c r="H813" s="175"/>
    </row>
    <row r="814" spans="8:8" ht="13.5" customHeight="1">
      <c r="H814" s="175"/>
    </row>
    <row r="815" spans="8:8" ht="13.5" customHeight="1">
      <c r="H815" s="175"/>
    </row>
    <row r="816" spans="8:8" ht="13.5" customHeight="1">
      <c r="H816" s="175"/>
    </row>
    <row r="817" spans="8:8" ht="13.5" customHeight="1">
      <c r="H817" s="175"/>
    </row>
    <row r="818" spans="8:8" ht="13.5" customHeight="1">
      <c r="H818" s="175"/>
    </row>
    <row r="819" spans="8:8" ht="13.5" customHeight="1">
      <c r="H819" s="175"/>
    </row>
    <row r="820" spans="8:8" ht="13.5" customHeight="1">
      <c r="H820" s="175"/>
    </row>
    <row r="821" spans="8:8" ht="13.5" customHeight="1">
      <c r="H821" s="175"/>
    </row>
    <row r="822" spans="8:8" ht="13.5" customHeight="1">
      <c r="H822" s="175"/>
    </row>
    <row r="823" spans="8:8" ht="13.5" customHeight="1">
      <c r="H823" s="175"/>
    </row>
    <row r="824" spans="8:8" ht="13.5" customHeight="1">
      <c r="H824" s="175"/>
    </row>
    <row r="825" spans="8:8" ht="13.5" customHeight="1">
      <c r="H825" s="175"/>
    </row>
    <row r="826" spans="8:8" ht="13.5" customHeight="1">
      <c r="H826" s="175"/>
    </row>
    <row r="827" spans="8:8" ht="13.5" customHeight="1">
      <c r="H827" s="175"/>
    </row>
    <row r="828" spans="8:8" ht="13.5" customHeight="1">
      <c r="H828" s="175"/>
    </row>
    <row r="829" spans="8:8" ht="13.5" customHeight="1">
      <c r="H829" s="175"/>
    </row>
    <row r="830" spans="8:8" ht="13.5" customHeight="1">
      <c r="H830" s="175"/>
    </row>
    <row r="831" spans="8:8" ht="13.5" customHeight="1">
      <c r="H831" s="175"/>
    </row>
    <row r="832" spans="8:8" ht="13.5" customHeight="1">
      <c r="H832" s="175"/>
    </row>
    <row r="833" spans="8:8" ht="13.5" customHeight="1">
      <c r="H833" s="175"/>
    </row>
    <row r="834" spans="8:8" ht="13.5" customHeight="1">
      <c r="H834" s="175"/>
    </row>
    <row r="835" spans="8:8" ht="13.5" customHeight="1">
      <c r="H835" s="175"/>
    </row>
    <row r="836" spans="8:8" ht="13.5" customHeight="1">
      <c r="H836" s="175"/>
    </row>
    <row r="837" spans="8:8" ht="13.5" customHeight="1">
      <c r="H837" s="175"/>
    </row>
    <row r="838" spans="8:8" ht="13.5" customHeight="1">
      <c r="H838" s="175"/>
    </row>
    <row r="839" spans="8:8" ht="13.5" customHeight="1">
      <c r="H839" s="175"/>
    </row>
    <row r="840" spans="8:8" ht="13.5" customHeight="1">
      <c r="H840" s="175"/>
    </row>
    <row r="841" spans="8:8" ht="13.5" customHeight="1">
      <c r="H841" s="175"/>
    </row>
    <row r="842" spans="8:8" ht="13.5" customHeight="1">
      <c r="H842" s="175"/>
    </row>
    <row r="843" spans="8:8" ht="13.5" customHeight="1">
      <c r="H843" s="175"/>
    </row>
    <row r="844" spans="8:8" ht="13.5" customHeight="1">
      <c r="H844" s="175"/>
    </row>
    <row r="845" spans="8:8" ht="13.5" customHeight="1">
      <c r="H845" s="175"/>
    </row>
    <row r="846" spans="8:8" ht="13.5" customHeight="1">
      <c r="H846" s="175"/>
    </row>
    <row r="847" spans="8:8" ht="13.5" customHeight="1">
      <c r="H847" s="175"/>
    </row>
    <row r="848" spans="8:8" ht="13.5" customHeight="1">
      <c r="H848" s="175"/>
    </row>
    <row r="849" spans="8:8" ht="13.5" customHeight="1">
      <c r="H849" s="175"/>
    </row>
    <row r="850" spans="8:8" ht="13.5" customHeight="1">
      <c r="H850" s="175"/>
    </row>
    <row r="851" spans="8:8" ht="13.5" customHeight="1">
      <c r="H851" s="175"/>
    </row>
    <row r="852" spans="8:8" ht="13.5" customHeight="1">
      <c r="H852" s="175"/>
    </row>
    <row r="853" spans="8:8" ht="13.5" customHeight="1">
      <c r="H853" s="175"/>
    </row>
    <row r="854" spans="8:8" ht="13.5" customHeight="1">
      <c r="H854" s="175"/>
    </row>
    <row r="855" spans="8:8" ht="13.5" customHeight="1">
      <c r="H855" s="175"/>
    </row>
    <row r="856" spans="8:8" ht="13.5" customHeight="1">
      <c r="H856" s="175"/>
    </row>
    <row r="857" spans="8:8" ht="13.5" customHeight="1">
      <c r="H857" s="175"/>
    </row>
    <row r="858" spans="8:8" ht="13.5" customHeight="1">
      <c r="H858" s="175"/>
    </row>
    <row r="859" spans="8:8" ht="13.5" customHeight="1">
      <c r="H859" s="175"/>
    </row>
    <row r="860" spans="8:8" ht="13.5" customHeight="1">
      <c r="H860" s="175"/>
    </row>
    <row r="861" spans="8:8" ht="13.5" customHeight="1">
      <c r="H861" s="175"/>
    </row>
    <row r="862" spans="8:8" ht="13.5" customHeight="1">
      <c r="H862" s="175"/>
    </row>
    <row r="863" spans="8:8" ht="13.5" customHeight="1">
      <c r="H863" s="175"/>
    </row>
    <row r="864" spans="8:8" ht="13.5" customHeight="1">
      <c r="H864" s="175"/>
    </row>
    <row r="865" spans="8:8" ht="13.5" customHeight="1">
      <c r="H865" s="175"/>
    </row>
    <row r="866" spans="8:8" ht="13.5" customHeight="1">
      <c r="H866" s="175"/>
    </row>
    <row r="867" spans="8:8" ht="13.5" customHeight="1">
      <c r="H867" s="175"/>
    </row>
    <row r="868" spans="8:8" ht="13.5" customHeight="1">
      <c r="H868" s="175"/>
    </row>
    <row r="869" spans="8:8" ht="13.5" customHeight="1">
      <c r="H869" s="175"/>
    </row>
    <row r="870" spans="8:8" ht="13.5" customHeight="1">
      <c r="H870" s="175"/>
    </row>
    <row r="871" spans="8:8" ht="13.5" customHeight="1">
      <c r="H871" s="175"/>
    </row>
    <row r="872" spans="8:8" ht="13.5" customHeight="1">
      <c r="H872" s="175"/>
    </row>
    <row r="873" spans="8:8" ht="13.5" customHeight="1">
      <c r="H873" s="175"/>
    </row>
    <row r="874" spans="8:8" ht="13.5" customHeight="1">
      <c r="H874" s="175"/>
    </row>
    <row r="875" spans="8:8" ht="13.5" customHeight="1">
      <c r="H875" s="175"/>
    </row>
    <row r="876" spans="8:8" ht="13.5" customHeight="1">
      <c r="H876" s="175"/>
    </row>
    <row r="877" spans="8:8" ht="13.5" customHeight="1">
      <c r="H877" s="175"/>
    </row>
    <row r="878" spans="8:8" ht="13.5" customHeight="1">
      <c r="H878" s="175"/>
    </row>
    <row r="879" spans="8:8" ht="13.5" customHeight="1">
      <c r="H879" s="175"/>
    </row>
    <row r="880" spans="8:8" ht="13.5" customHeight="1">
      <c r="H880" s="175"/>
    </row>
    <row r="881" spans="8:8" ht="13.5" customHeight="1">
      <c r="H881" s="175"/>
    </row>
    <row r="882" spans="8:8" ht="13.5" customHeight="1">
      <c r="H882" s="175"/>
    </row>
    <row r="883" spans="8:8" ht="13.5" customHeight="1">
      <c r="H883" s="175"/>
    </row>
    <row r="884" spans="8:8" ht="13.5" customHeight="1">
      <c r="H884" s="175"/>
    </row>
    <row r="885" spans="8:8" ht="13.5" customHeight="1">
      <c r="H885" s="175"/>
    </row>
    <row r="886" spans="8:8" ht="13.5" customHeight="1">
      <c r="H886" s="175"/>
    </row>
    <row r="887" spans="8:8" ht="13.5" customHeight="1">
      <c r="H887" s="175"/>
    </row>
    <row r="888" spans="8:8" ht="13.5" customHeight="1">
      <c r="H888" s="175"/>
    </row>
    <row r="889" spans="8:8" ht="13.5" customHeight="1">
      <c r="H889" s="175"/>
    </row>
    <row r="890" spans="8:8" ht="13.5" customHeight="1">
      <c r="H890" s="175"/>
    </row>
    <row r="891" spans="8:8" ht="13.5" customHeight="1">
      <c r="H891" s="175"/>
    </row>
    <row r="892" spans="8:8" ht="13.5" customHeight="1">
      <c r="H892" s="175"/>
    </row>
    <row r="893" spans="8:8" ht="13.5" customHeight="1">
      <c r="H893" s="175"/>
    </row>
    <row r="894" spans="8:8" ht="13.5" customHeight="1">
      <c r="H894" s="175"/>
    </row>
    <row r="895" spans="8:8" ht="13.5" customHeight="1">
      <c r="H895" s="175"/>
    </row>
    <row r="896" spans="8:8" ht="13.5" customHeight="1">
      <c r="H896" s="175"/>
    </row>
    <row r="897" spans="8:8" ht="13.5" customHeight="1">
      <c r="H897" s="175"/>
    </row>
    <row r="898" spans="8:8" ht="13.5" customHeight="1">
      <c r="H898" s="175"/>
    </row>
    <row r="899" spans="8:8" ht="13.5" customHeight="1">
      <c r="H899" s="175"/>
    </row>
    <row r="900" spans="8:8" ht="13.5" customHeight="1">
      <c r="H900" s="175"/>
    </row>
    <row r="901" spans="8:8" ht="13.5" customHeight="1">
      <c r="H901" s="175"/>
    </row>
    <row r="902" spans="8:8" ht="13.5" customHeight="1">
      <c r="H902" s="175"/>
    </row>
    <row r="903" spans="8:8" ht="13.5" customHeight="1">
      <c r="H903" s="175"/>
    </row>
    <row r="904" spans="8:8" ht="13.5" customHeight="1">
      <c r="H904" s="175"/>
    </row>
    <row r="905" spans="8:8" ht="13.5" customHeight="1">
      <c r="H905" s="175"/>
    </row>
    <row r="906" spans="8:8" ht="13.5" customHeight="1">
      <c r="H906" s="175"/>
    </row>
    <row r="907" spans="8:8" ht="13.5" customHeight="1">
      <c r="H907" s="175"/>
    </row>
    <row r="908" spans="8:8" ht="13.5" customHeight="1">
      <c r="H908" s="175"/>
    </row>
    <row r="909" spans="8:8" ht="13.5" customHeight="1">
      <c r="H909" s="175"/>
    </row>
    <row r="910" spans="8:8" ht="13.5" customHeight="1">
      <c r="H910" s="175"/>
    </row>
    <row r="911" spans="8:8" ht="13.5" customHeight="1">
      <c r="H911" s="175"/>
    </row>
    <row r="912" spans="8:8" ht="13.5" customHeight="1">
      <c r="H912" s="175"/>
    </row>
    <row r="913" spans="8:8" ht="13.5" customHeight="1">
      <c r="H913" s="175"/>
    </row>
    <row r="914" spans="8:8" ht="13.5" customHeight="1">
      <c r="H914" s="175"/>
    </row>
    <row r="915" spans="8:8" ht="13.5" customHeight="1">
      <c r="H915" s="175"/>
    </row>
    <row r="916" spans="8:8" ht="13.5" customHeight="1">
      <c r="H916" s="175"/>
    </row>
    <row r="917" spans="8:8" ht="13.5" customHeight="1">
      <c r="H917" s="175"/>
    </row>
    <row r="918" spans="8:8" ht="13.5" customHeight="1">
      <c r="H918" s="175"/>
    </row>
    <row r="919" spans="8:8" ht="13.5" customHeight="1">
      <c r="H919" s="175"/>
    </row>
    <row r="920" spans="8:8" ht="13.5" customHeight="1">
      <c r="H920" s="175"/>
    </row>
    <row r="921" spans="8:8" ht="13.5" customHeight="1">
      <c r="H921" s="175"/>
    </row>
    <row r="922" spans="8:8" ht="13.5" customHeight="1">
      <c r="H922" s="175"/>
    </row>
    <row r="923" spans="8:8" ht="13.5" customHeight="1">
      <c r="H923" s="175"/>
    </row>
    <row r="924" spans="8:8" ht="13.5" customHeight="1">
      <c r="H924" s="175"/>
    </row>
    <row r="925" spans="8:8" ht="13.5" customHeight="1">
      <c r="H925" s="175"/>
    </row>
    <row r="926" spans="8:8" ht="13.5" customHeight="1">
      <c r="H926" s="175"/>
    </row>
    <row r="927" spans="8:8" ht="13.5" customHeight="1">
      <c r="H927" s="175"/>
    </row>
    <row r="928" spans="8:8" ht="13.5" customHeight="1">
      <c r="H928" s="175"/>
    </row>
    <row r="929" spans="8:8" ht="13.5" customHeight="1">
      <c r="H929" s="175"/>
    </row>
    <row r="930" spans="8:8" ht="13.5" customHeight="1">
      <c r="H930" s="175"/>
    </row>
    <row r="931" spans="8:8" ht="13.5" customHeight="1">
      <c r="H931" s="175"/>
    </row>
    <row r="932" spans="8:8" ht="13.5" customHeight="1">
      <c r="H932" s="175"/>
    </row>
    <row r="933" spans="8:8" ht="13.5" customHeight="1">
      <c r="H933" s="175"/>
    </row>
    <row r="934" spans="8:8" ht="13.5" customHeight="1">
      <c r="H934" s="175"/>
    </row>
    <row r="935" spans="8:8" ht="13.5" customHeight="1">
      <c r="H935" s="175"/>
    </row>
    <row r="936" spans="8:8" ht="13.5" customHeight="1">
      <c r="H936" s="175"/>
    </row>
    <row r="937" spans="8:8" ht="13.5" customHeight="1">
      <c r="H937" s="175"/>
    </row>
    <row r="938" spans="8:8" ht="13.5" customHeight="1">
      <c r="H938" s="175"/>
    </row>
    <row r="939" spans="8:8" ht="13.5" customHeight="1">
      <c r="H939" s="175"/>
    </row>
    <row r="940" spans="8:8" ht="13.5" customHeight="1">
      <c r="H940" s="175"/>
    </row>
    <row r="941" spans="8:8" ht="13.5" customHeight="1">
      <c r="H941" s="175"/>
    </row>
    <row r="942" spans="8:8" ht="13.5" customHeight="1">
      <c r="H942" s="175"/>
    </row>
    <row r="943" spans="8:8" ht="13.5" customHeight="1">
      <c r="H943" s="175"/>
    </row>
    <row r="944" spans="8:8" ht="13.5" customHeight="1">
      <c r="H944" s="175"/>
    </row>
    <row r="945" spans="8:8" ht="13.5" customHeight="1">
      <c r="H945" s="175"/>
    </row>
    <row r="946" spans="8:8" ht="13.5" customHeight="1">
      <c r="H946" s="175"/>
    </row>
    <row r="947" spans="8:8" ht="13.5" customHeight="1">
      <c r="H947" s="175"/>
    </row>
    <row r="948" spans="8:8" ht="13.5" customHeight="1">
      <c r="H948" s="175"/>
    </row>
    <row r="949" spans="8:8" ht="13.5" customHeight="1">
      <c r="H949" s="175"/>
    </row>
    <row r="950" spans="8:8" ht="13.5" customHeight="1">
      <c r="H950" s="175"/>
    </row>
    <row r="951" spans="8:8" ht="13.5" customHeight="1">
      <c r="H951" s="175"/>
    </row>
    <row r="952" spans="8:8" ht="13.5" customHeight="1">
      <c r="H952" s="175"/>
    </row>
    <row r="953" spans="8:8" ht="13.5" customHeight="1">
      <c r="H953" s="175"/>
    </row>
    <row r="954" spans="8:8" ht="13.5" customHeight="1">
      <c r="H954" s="175"/>
    </row>
    <row r="955" spans="8:8" ht="13.5" customHeight="1">
      <c r="H955" s="175"/>
    </row>
    <row r="956" spans="8:8" ht="13.5" customHeight="1">
      <c r="H956" s="175"/>
    </row>
    <row r="957" spans="8:8" ht="13.5" customHeight="1">
      <c r="H957" s="175"/>
    </row>
    <row r="958" spans="8:8" ht="13.5" customHeight="1">
      <c r="H958" s="175"/>
    </row>
    <row r="959" spans="8:8" ht="13.5" customHeight="1">
      <c r="H959" s="175"/>
    </row>
    <row r="960" spans="8:8" ht="13.5" customHeight="1">
      <c r="H960" s="175"/>
    </row>
    <row r="961" spans="8:8" ht="13.5" customHeight="1">
      <c r="H961" s="175"/>
    </row>
    <row r="962" spans="8:8" ht="13.5" customHeight="1">
      <c r="H962" s="175"/>
    </row>
    <row r="963" spans="8:8" ht="13.5" customHeight="1">
      <c r="H963" s="175"/>
    </row>
    <row r="964" spans="8:8" ht="13.5" customHeight="1">
      <c r="H964" s="175"/>
    </row>
    <row r="965" spans="8:8" ht="13.5" customHeight="1">
      <c r="H965" s="175"/>
    </row>
    <row r="966" spans="8:8" ht="13.5" customHeight="1">
      <c r="H966" s="175"/>
    </row>
    <row r="967" spans="8:8" ht="13.5" customHeight="1">
      <c r="H967" s="175"/>
    </row>
    <row r="968" spans="8:8" ht="13.5" customHeight="1">
      <c r="H968" s="175"/>
    </row>
    <row r="969" spans="8:8" ht="13.5" customHeight="1">
      <c r="H969" s="175"/>
    </row>
    <row r="970" spans="8:8" ht="13.5" customHeight="1">
      <c r="H970" s="175"/>
    </row>
    <row r="971" spans="8:8" ht="13.5" customHeight="1">
      <c r="H971" s="175"/>
    </row>
    <row r="972" spans="8:8" ht="13.5" customHeight="1">
      <c r="H972" s="175"/>
    </row>
    <row r="973" spans="8:8" ht="13.5" customHeight="1">
      <c r="H973" s="175"/>
    </row>
    <row r="974" spans="8:8" ht="13.5" customHeight="1">
      <c r="H974" s="175"/>
    </row>
    <row r="975" spans="8:8" ht="13.5" customHeight="1">
      <c r="H975" s="175"/>
    </row>
    <row r="976" spans="8:8" ht="13.5" customHeight="1">
      <c r="H976" s="175"/>
    </row>
    <row r="977" spans="8:8" ht="13.5" customHeight="1">
      <c r="H977" s="175"/>
    </row>
    <row r="978" spans="8:8" ht="13.5" customHeight="1">
      <c r="H978" s="175"/>
    </row>
    <row r="979" spans="8:8" ht="13.5" customHeight="1">
      <c r="H979" s="175"/>
    </row>
    <row r="980" spans="8:8" ht="13.5" customHeight="1">
      <c r="H980" s="175"/>
    </row>
    <row r="981" spans="8:8" ht="13.5" customHeight="1">
      <c r="H981" s="175"/>
    </row>
    <row r="982" spans="8:8" ht="13.5" customHeight="1">
      <c r="H982" s="175"/>
    </row>
    <row r="983" spans="8:8" ht="13.5" customHeight="1">
      <c r="H983" s="175"/>
    </row>
    <row r="984" spans="8:8" ht="13.5" customHeight="1">
      <c r="H984" s="175"/>
    </row>
    <row r="985" spans="8:8" ht="13.5" customHeight="1">
      <c r="H985" s="175"/>
    </row>
    <row r="986" spans="8:8" ht="13.5" customHeight="1">
      <c r="H986" s="175"/>
    </row>
    <row r="987" spans="8:8" ht="13.5" customHeight="1">
      <c r="H987" s="175"/>
    </row>
    <row r="988" spans="8:8" ht="13.5" customHeight="1">
      <c r="H988" s="175"/>
    </row>
    <row r="989" spans="8:8" ht="13.5" customHeight="1">
      <c r="H989" s="175"/>
    </row>
    <row r="990" spans="8:8" ht="13.5" customHeight="1">
      <c r="H990" s="175"/>
    </row>
    <row r="991" spans="8:8" ht="13.5" customHeight="1">
      <c r="H991" s="175"/>
    </row>
    <row r="992" spans="8:8" ht="13.5" customHeight="1">
      <c r="H992" s="175"/>
    </row>
    <row r="993" spans="8:8" ht="13.5" customHeight="1">
      <c r="H993" s="175"/>
    </row>
    <row r="994" spans="8:8" ht="13.5" customHeight="1">
      <c r="H994" s="175"/>
    </row>
    <row r="995" spans="8:8" ht="13.5" customHeight="1">
      <c r="H995" s="175"/>
    </row>
    <row r="996" spans="8:8" ht="13.5" customHeight="1">
      <c r="H996" s="175"/>
    </row>
    <row r="997" spans="8:8" ht="13.5" customHeight="1">
      <c r="H997" s="175"/>
    </row>
    <row r="998" spans="8:8" ht="13.5" customHeight="1">
      <c r="H998" s="175"/>
    </row>
    <row r="999" spans="8:8" ht="13.5" customHeight="1">
      <c r="H999" s="175"/>
    </row>
    <row r="1000" spans="8:8" ht="13.5" customHeight="1">
      <c r="H1000" s="175"/>
    </row>
  </sheetData>
  <mergeCells count="1">
    <mergeCell ref="A3:B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000"/>
  <sheetViews>
    <sheetView showGridLines="0" topLeftCell="A11" workbookViewId="0">
      <selection activeCell="A16" sqref="A16:XFD17"/>
    </sheetView>
  </sheetViews>
  <sheetFormatPr defaultColWidth="12.6640625" defaultRowHeight="15" customHeight="1"/>
  <cols>
    <col min="1" max="1" width="11.1640625" style="7" customWidth="1"/>
    <col min="2" max="3" width="19.6640625" style="7" customWidth="1"/>
    <col min="4" max="4" width="15.4140625" style="7" customWidth="1"/>
    <col min="5" max="5" width="17.1640625" style="7" customWidth="1"/>
    <col min="6" max="6" width="11.9140625" style="7" customWidth="1"/>
    <col min="7" max="7" width="13.75" style="7" customWidth="1"/>
    <col min="8" max="8" width="14.25" style="7" customWidth="1"/>
    <col min="9" max="26" width="8.6640625" style="7" customWidth="1"/>
    <col min="27" max="16384" width="12.6640625" style="7"/>
  </cols>
  <sheetData>
    <row r="1" spans="1:22" s="373" customFormat="1" ht="13.5" customHeight="1">
      <c r="A1" s="440" t="s">
        <v>310</v>
      </c>
      <c r="B1" s="443"/>
      <c r="C1" s="443"/>
      <c r="D1" s="443"/>
      <c r="E1" s="449"/>
      <c r="F1" s="226"/>
      <c r="G1" s="226"/>
      <c r="H1" s="226"/>
    </row>
    <row r="2" spans="1:22" s="373" customFormat="1" ht="13.5" customHeight="1">
      <c r="A2" s="450"/>
      <c r="B2" s="226"/>
      <c r="C2" s="226"/>
      <c r="D2" s="226"/>
      <c r="E2" s="451"/>
      <c r="F2" s="226"/>
      <c r="G2" s="226"/>
      <c r="H2" s="452" t="s">
        <v>1</v>
      </c>
    </row>
    <row r="3" spans="1:22" ht="13.5" customHeight="1">
      <c r="A3" s="115" t="s">
        <v>311</v>
      </c>
      <c r="B3" s="116" t="s">
        <v>471</v>
      </c>
      <c r="C3" s="117"/>
      <c r="D3" s="118"/>
      <c r="E3" s="119" t="s">
        <v>312</v>
      </c>
      <c r="F3" s="116" t="s">
        <v>313</v>
      </c>
      <c r="G3" s="117"/>
      <c r="H3" s="120"/>
    </row>
    <row r="4" spans="1:22" ht="30" customHeight="1">
      <c r="A4" s="121"/>
      <c r="B4" s="122" t="s">
        <v>314</v>
      </c>
      <c r="C4" s="122" t="s">
        <v>315</v>
      </c>
      <c r="D4" s="122" t="s">
        <v>136</v>
      </c>
      <c r="E4" s="123"/>
      <c r="F4" s="122" t="s">
        <v>314</v>
      </c>
      <c r="G4" s="122" t="s">
        <v>315</v>
      </c>
      <c r="H4" s="122" t="s">
        <v>136</v>
      </c>
    </row>
    <row r="5" spans="1:22" ht="13.5" customHeight="1">
      <c r="A5" s="124" t="s">
        <v>316</v>
      </c>
      <c r="B5" s="125">
        <v>78104.86</v>
      </c>
      <c r="C5" s="126">
        <v>360120.36</v>
      </c>
      <c r="D5" s="127">
        <v>438225.22</v>
      </c>
      <c r="E5" s="128">
        <v>2683.19</v>
      </c>
      <c r="F5" s="125">
        <v>78104.86</v>
      </c>
      <c r="G5" s="126">
        <v>357437.17</v>
      </c>
      <c r="H5" s="127">
        <v>435542.03</v>
      </c>
    </row>
    <row r="6" spans="1:22" ht="13.5" customHeight="1">
      <c r="A6" s="124" t="s">
        <v>317</v>
      </c>
      <c r="B6" s="125">
        <v>107226.48</v>
      </c>
      <c r="C6" s="126">
        <v>343427.63</v>
      </c>
      <c r="D6" s="127">
        <v>450654.11</v>
      </c>
      <c r="E6" s="128">
        <v>4865.74</v>
      </c>
      <c r="F6" s="125">
        <v>107226.48</v>
      </c>
      <c r="G6" s="126">
        <v>338561.89</v>
      </c>
      <c r="H6" s="127">
        <v>445788.37</v>
      </c>
    </row>
    <row r="7" spans="1:22" ht="13.5" customHeight="1">
      <c r="A7" s="124" t="s">
        <v>318</v>
      </c>
      <c r="B7" s="125">
        <v>234702.61</v>
      </c>
      <c r="C7" s="126">
        <v>433522.43</v>
      </c>
      <c r="D7" s="127">
        <v>668225.04</v>
      </c>
      <c r="E7" s="128">
        <v>4507.32</v>
      </c>
      <c r="F7" s="125">
        <v>234702.61</v>
      </c>
      <c r="G7" s="126">
        <v>429015.11</v>
      </c>
      <c r="H7" s="127">
        <v>663717.72</v>
      </c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</row>
    <row r="8" spans="1:22" ht="13.5" customHeight="1">
      <c r="A8" s="129" t="s">
        <v>5</v>
      </c>
      <c r="B8" s="125">
        <v>368478.26</v>
      </c>
      <c r="C8" s="126">
        <v>481593.18</v>
      </c>
      <c r="D8" s="127">
        <v>850071.44</v>
      </c>
      <c r="E8" s="128">
        <v>5055.62</v>
      </c>
      <c r="F8" s="125">
        <v>368478.26</v>
      </c>
      <c r="G8" s="126">
        <v>481593.18</v>
      </c>
      <c r="H8" s="127">
        <v>850071.44</v>
      </c>
    </row>
    <row r="9" spans="1:22" ht="13.5" customHeight="1">
      <c r="A9" s="129" t="s">
        <v>6</v>
      </c>
      <c r="B9" s="125">
        <v>223440</v>
      </c>
      <c r="C9" s="126">
        <v>428033.54</v>
      </c>
      <c r="D9" s="127">
        <v>651473.54</v>
      </c>
      <c r="E9" s="128">
        <v>4395.8</v>
      </c>
      <c r="F9" s="125">
        <v>223440</v>
      </c>
      <c r="G9" s="126">
        <v>428033.54</v>
      </c>
      <c r="H9" s="127">
        <v>651473.54</v>
      </c>
    </row>
    <row r="10" spans="1:22" ht="13.5" customHeight="1">
      <c r="A10" s="130" t="s">
        <v>7</v>
      </c>
      <c r="B10" s="125">
        <v>234590.32</v>
      </c>
      <c r="C10" s="126">
        <v>546038.63</v>
      </c>
      <c r="D10" s="127">
        <v>780628.95</v>
      </c>
      <c r="E10" s="128">
        <v>6258.79</v>
      </c>
      <c r="F10" s="125">
        <v>234590.32</v>
      </c>
      <c r="G10" s="126">
        <v>539779.83999999997</v>
      </c>
      <c r="H10" s="127">
        <v>774370.16</v>
      </c>
    </row>
    <row r="11" spans="1:22" ht="13.5" customHeight="1">
      <c r="A11" s="124" t="s">
        <v>8</v>
      </c>
      <c r="B11" s="125">
        <v>305666</v>
      </c>
      <c r="C11" s="126">
        <v>612112.55000000005</v>
      </c>
      <c r="D11" s="127">
        <v>917778.55</v>
      </c>
      <c r="E11" s="128">
        <v>5096.57</v>
      </c>
      <c r="F11" s="125">
        <v>305666</v>
      </c>
      <c r="G11" s="126">
        <v>607015.98</v>
      </c>
      <c r="H11" s="127">
        <v>912681.98</v>
      </c>
    </row>
    <row r="12" spans="1:22" ht="13.5" customHeight="1">
      <c r="A12" s="124" t="s">
        <v>9</v>
      </c>
      <c r="B12" s="125">
        <v>405005</v>
      </c>
      <c r="C12" s="126">
        <v>797071</v>
      </c>
      <c r="D12" s="127">
        <v>1202076</v>
      </c>
      <c r="E12" s="128">
        <v>2854.38</v>
      </c>
      <c r="F12" s="125">
        <v>405005</v>
      </c>
      <c r="G12" s="126">
        <v>794216.62</v>
      </c>
      <c r="H12" s="127">
        <f t="shared" ref="H12:H15" si="0">F12+G12</f>
        <v>1199221.6200000001</v>
      </c>
    </row>
    <row r="13" spans="1:22" ht="13.5" customHeight="1">
      <c r="A13" s="129" t="s">
        <v>10</v>
      </c>
      <c r="B13" s="125">
        <v>773406</v>
      </c>
      <c r="C13" s="126">
        <v>801152</v>
      </c>
      <c r="D13" s="127">
        <v>1574558</v>
      </c>
      <c r="E13" s="128">
        <v>1428.61</v>
      </c>
      <c r="F13" s="125">
        <v>773406</v>
      </c>
      <c r="G13" s="126">
        <v>799723.39</v>
      </c>
      <c r="H13" s="127">
        <f t="shared" si="0"/>
        <v>1573129.3900000001</v>
      </c>
    </row>
    <row r="14" spans="1:22" ht="13.5" customHeight="1">
      <c r="A14" s="129" t="s">
        <v>11</v>
      </c>
      <c r="B14" s="125">
        <v>579042</v>
      </c>
      <c r="C14" s="126">
        <v>1143062</v>
      </c>
      <c r="D14" s="127">
        <v>1722104</v>
      </c>
      <c r="E14" s="128">
        <v>8047.8728128499997</v>
      </c>
      <c r="F14" s="125">
        <v>579042</v>
      </c>
      <c r="G14" s="126">
        <v>1135014.1271871501</v>
      </c>
      <c r="H14" s="127">
        <f t="shared" si="0"/>
        <v>1714056.1271871501</v>
      </c>
    </row>
    <row r="15" spans="1:22" ht="13.5" customHeight="1">
      <c r="A15" s="131" t="s">
        <v>12</v>
      </c>
      <c r="B15" s="132">
        <v>860459.80543800001</v>
      </c>
      <c r="C15" s="133">
        <v>1428017.534978</v>
      </c>
      <c r="D15" s="134">
        <v>2288477.3404160002</v>
      </c>
      <c r="E15" s="135">
        <v>2526.1510584064795</v>
      </c>
      <c r="F15" s="132">
        <v>860459.80543800001</v>
      </c>
      <c r="G15" s="133">
        <v>1425491.3839195934</v>
      </c>
      <c r="H15" s="134">
        <f t="shared" si="0"/>
        <v>2285951.1893575937</v>
      </c>
    </row>
    <row r="16" spans="1:22" s="379" customFormat="1" ht="13.5" customHeight="1">
      <c r="A16" s="387" t="s">
        <v>29</v>
      </c>
      <c r="B16" s="405"/>
      <c r="C16" s="405"/>
      <c r="D16" s="405"/>
      <c r="E16" s="405"/>
      <c r="F16" s="405"/>
      <c r="G16" s="405"/>
      <c r="H16" s="405"/>
    </row>
    <row r="17" spans="1:8" s="379" customFormat="1" ht="13.5" customHeight="1">
      <c r="A17" s="387" t="s">
        <v>504</v>
      </c>
      <c r="B17" s="405"/>
      <c r="C17" s="405"/>
      <c r="D17" s="405"/>
      <c r="E17" s="405"/>
      <c r="F17" s="405"/>
      <c r="G17" s="405"/>
      <c r="H17" s="405"/>
    </row>
    <row r="18" spans="1:8" ht="13.5" customHeight="1">
      <c r="C18" s="67"/>
      <c r="D18" s="67"/>
      <c r="E18" s="67"/>
      <c r="F18" s="67"/>
      <c r="G18" s="67"/>
      <c r="H18" s="67"/>
    </row>
    <row r="19" spans="1:8" ht="13.5" customHeight="1"/>
    <row r="20" spans="1:8" ht="13.5" customHeight="1"/>
    <row r="21" spans="1:8" ht="13.5" customHeight="1"/>
    <row r="22" spans="1:8" ht="13.5" customHeight="1"/>
    <row r="23" spans="1:8" ht="13.5" customHeight="1"/>
    <row r="24" spans="1:8" ht="13.5" customHeight="1"/>
    <row r="25" spans="1:8" ht="13.5" customHeight="1"/>
    <row r="26" spans="1:8" ht="13.5" customHeight="1"/>
    <row r="27" spans="1:8" ht="13.5" customHeight="1"/>
    <row r="28" spans="1:8" ht="13.5" customHeight="1"/>
    <row r="29" spans="1:8" ht="13.5" customHeight="1"/>
    <row r="30" spans="1:8" ht="13.5" customHeight="1"/>
    <row r="31" spans="1:8" ht="13.5" customHeight="1"/>
    <row r="32" spans="1:8" ht="13.5" customHeight="1"/>
    <row r="33" s="7" customFormat="1" ht="13.5" customHeight="1"/>
    <row r="34" s="7" customFormat="1" ht="13.5" customHeight="1"/>
    <row r="35" s="7" customFormat="1" ht="13.5" customHeight="1"/>
    <row r="36" s="7" customFormat="1" ht="13.5" customHeight="1"/>
    <row r="37" s="7" customFormat="1" ht="13.5" customHeight="1"/>
    <row r="38" s="7" customFormat="1" ht="13.5" customHeight="1"/>
    <row r="39" s="7" customFormat="1" ht="13.5" customHeight="1"/>
    <row r="40" s="7" customFormat="1" ht="13.5" customHeight="1"/>
    <row r="41" s="7" customFormat="1" ht="13.5" customHeight="1"/>
    <row r="42" s="7" customFormat="1" ht="13.5" customHeight="1"/>
    <row r="43" s="7" customFormat="1" ht="13.5" customHeight="1"/>
    <row r="44" s="7" customFormat="1" ht="13.5" customHeight="1"/>
    <row r="45" s="7" customFormat="1" ht="13.5" customHeight="1"/>
    <row r="46" s="7" customFormat="1" ht="13.5" customHeight="1"/>
    <row r="47" s="7" customFormat="1" ht="13.5" customHeight="1"/>
    <row r="48" s="7" customFormat="1" ht="13.5" customHeight="1"/>
    <row r="49" s="7" customFormat="1" ht="13.5" customHeight="1"/>
    <row r="50" s="7" customFormat="1" ht="13.5" customHeight="1"/>
    <row r="51" s="7" customFormat="1" ht="13.5" customHeight="1"/>
    <row r="52" s="7" customFormat="1" ht="13.5" customHeight="1"/>
    <row r="53" s="7" customFormat="1" ht="13.5" customHeight="1"/>
    <row r="54" s="7" customFormat="1" ht="13.5" customHeight="1"/>
    <row r="55" s="7" customFormat="1" ht="13.5" customHeight="1"/>
    <row r="56" s="7" customFormat="1" ht="13.5" customHeight="1"/>
    <row r="57" s="7" customFormat="1" ht="13.5" customHeight="1"/>
    <row r="58" s="7" customFormat="1" ht="13.5" customHeight="1"/>
    <row r="59" s="7" customFormat="1" ht="13.5" customHeight="1"/>
    <row r="60" s="7" customFormat="1" ht="13.5" customHeight="1"/>
    <row r="61" s="7" customFormat="1" ht="13.5" customHeight="1"/>
    <row r="62" s="7" customFormat="1" ht="13.5" customHeight="1"/>
    <row r="63" s="7" customFormat="1" ht="13.5" customHeight="1"/>
    <row r="64" s="7" customFormat="1" ht="13.5" customHeight="1"/>
    <row r="65" s="7" customFormat="1" ht="13.5" customHeight="1"/>
    <row r="66" s="7" customFormat="1" ht="13.5" customHeight="1"/>
    <row r="67" s="7" customFormat="1" ht="13.5" customHeight="1"/>
    <row r="68" s="7" customFormat="1" ht="13.5" customHeight="1"/>
    <row r="69" s="7" customFormat="1" ht="13.5" customHeight="1"/>
    <row r="70" s="7" customFormat="1" ht="13.5" customHeight="1"/>
    <row r="71" s="7" customFormat="1" ht="13.5" customHeight="1"/>
    <row r="72" s="7" customFormat="1" ht="13.5" customHeight="1"/>
    <row r="73" s="7" customFormat="1" ht="13.5" customHeight="1"/>
    <row r="74" s="7" customFormat="1" ht="13.5" customHeight="1"/>
    <row r="75" s="7" customFormat="1" ht="13.5" customHeight="1"/>
    <row r="76" s="7" customFormat="1" ht="13.5" customHeight="1"/>
    <row r="77" s="7" customFormat="1" ht="13.5" customHeight="1"/>
    <row r="78" s="7" customFormat="1" ht="13.5" customHeight="1"/>
    <row r="79" s="7" customFormat="1" ht="13.5" customHeight="1"/>
    <row r="80" s="7" customFormat="1" ht="13.5" customHeight="1"/>
    <row r="81" s="7" customFormat="1" ht="13.5" customHeight="1"/>
    <row r="82" s="7" customFormat="1" ht="13.5" customHeight="1"/>
    <row r="83" s="7" customFormat="1" ht="13.5" customHeight="1"/>
    <row r="84" s="7" customFormat="1" ht="13.5" customHeight="1"/>
    <row r="85" s="7" customFormat="1" ht="13.5" customHeight="1"/>
    <row r="86" s="7" customFormat="1" ht="13.5" customHeight="1"/>
    <row r="87" s="7" customFormat="1" ht="13.5" customHeight="1"/>
    <row r="88" s="7" customFormat="1" ht="13.5" customHeight="1"/>
    <row r="89" s="7" customFormat="1" ht="13.5" customHeight="1"/>
    <row r="90" s="7" customFormat="1" ht="13.5" customHeight="1"/>
    <row r="91" s="7" customFormat="1" ht="13.5" customHeight="1"/>
    <row r="92" s="7" customFormat="1" ht="13.5" customHeight="1"/>
    <row r="93" s="7" customFormat="1" ht="13.5" customHeight="1"/>
    <row r="94" s="7" customFormat="1" ht="13.5" customHeight="1"/>
    <row r="95" s="7" customFormat="1" ht="13.5" customHeight="1"/>
    <row r="96" s="7" customFormat="1" ht="13.5" customHeight="1"/>
    <row r="97" s="7" customFormat="1" ht="13.5" customHeight="1"/>
    <row r="98" s="7" customFormat="1" ht="13.5" customHeight="1"/>
    <row r="99" s="7" customFormat="1" ht="13.5" customHeight="1"/>
    <row r="100" s="7" customFormat="1" ht="13.5" customHeight="1"/>
    <row r="101" s="7" customFormat="1" ht="13.5" customHeight="1"/>
    <row r="102" s="7" customFormat="1" ht="13.5" customHeight="1"/>
    <row r="103" s="7" customFormat="1" ht="13.5" customHeight="1"/>
    <row r="104" s="7" customFormat="1" ht="13.5" customHeight="1"/>
    <row r="105" s="7" customFormat="1" ht="13.5" customHeight="1"/>
    <row r="106" s="7" customFormat="1" ht="13.5" customHeight="1"/>
    <row r="107" s="7" customFormat="1" ht="13.5" customHeight="1"/>
    <row r="108" s="7" customFormat="1" ht="13.5" customHeight="1"/>
    <row r="109" s="7" customFormat="1" ht="13.5" customHeight="1"/>
    <row r="110" s="7" customFormat="1" ht="13.5" customHeight="1"/>
    <row r="111" s="7" customFormat="1" ht="13.5" customHeight="1"/>
    <row r="112" s="7" customFormat="1" ht="13.5" customHeight="1"/>
    <row r="113" s="7" customFormat="1" ht="13.5" customHeight="1"/>
    <row r="114" s="7" customFormat="1" ht="13.5" customHeight="1"/>
    <row r="115" s="7" customFormat="1" ht="13.5" customHeight="1"/>
    <row r="116" s="7" customFormat="1" ht="13.5" customHeight="1"/>
    <row r="117" s="7" customFormat="1" ht="13.5" customHeight="1"/>
    <row r="118" s="7" customFormat="1" ht="13.5" customHeight="1"/>
    <row r="119" s="7" customFormat="1" ht="13.5" customHeight="1"/>
    <row r="120" s="7" customFormat="1" ht="13.5" customHeight="1"/>
    <row r="121" s="7" customFormat="1" ht="13.5" customHeight="1"/>
    <row r="122" s="7" customFormat="1" ht="13.5" customHeight="1"/>
    <row r="123" s="7" customFormat="1" ht="13.5" customHeight="1"/>
    <row r="124" s="7" customFormat="1" ht="13.5" customHeight="1"/>
    <row r="125" s="7" customFormat="1" ht="13.5" customHeight="1"/>
    <row r="126" s="7" customFormat="1" ht="13.5" customHeight="1"/>
    <row r="127" s="7" customFormat="1" ht="13.5" customHeight="1"/>
    <row r="128" s="7" customFormat="1" ht="13.5" customHeight="1"/>
    <row r="129" s="7" customFormat="1" ht="13.5" customHeight="1"/>
    <row r="130" s="7" customFormat="1" ht="13.5" customHeight="1"/>
    <row r="131" s="7" customFormat="1" ht="13.5" customHeight="1"/>
    <row r="132" s="7" customFormat="1" ht="13.5" customHeight="1"/>
    <row r="133" s="7" customFormat="1" ht="13.5" customHeight="1"/>
    <row r="134" s="7" customFormat="1" ht="13.5" customHeight="1"/>
    <row r="135" s="7" customFormat="1" ht="13.5" customHeight="1"/>
    <row r="136" s="7" customFormat="1" ht="13.5" customHeight="1"/>
    <row r="137" s="7" customFormat="1" ht="13.5" customHeight="1"/>
    <row r="138" s="7" customFormat="1" ht="13.5" customHeight="1"/>
    <row r="139" s="7" customFormat="1" ht="13.5" customHeight="1"/>
    <row r="140" s="7" customFormat="1" ht="13.5" customHeight="1"/>
    <row r="141" s="7" customFormat="1" ht="13.5" customHeight="1"/>
    <row r="142" s="7" customFormat="1" ht="13.5" customHeight="1"/>
    <row r="143" s="7" customFormat="1" ht="13.5" customHeight="1"/>
    <row r="144" s="7" customFormat="1" ht="13.5" customHeight="1"/>
    <row r="145" s="7" customFormat="1" ht="13.5" customHeight="1"/>
    <row r="146" s="7" customFormat="1" ht="13.5" customHeight="1"/>
    <row r="147" s="7" customFormat="1" ht="13.5" customHeight="1"/>
    <row r="148" s="7" customFormat="1" ht="13.5" customHeight="1"/>
    <row r="149" s="7" customFormat="1" ht="13.5" customHeight="1"/>
    <row r="150" s="7" customFormat="1" ht="13.5" customHeight="1"/>
    <row r="151" s="7" customFormat="1" ht="13.5" customHeight="1"/>
    <row r="152" s="7" customFormat="1" ht="13.5" customHeight="1"/>
    <row r="153" s="7" customFormat="1" ht="13.5" customHeight="1"/>
    <row r="154" s="7" customFormat="1" ht="13.5" customHeight="1"/>
    <row r="155" s="7" customFormat="1" ht="13.5" customHeight="1"/>
    <row r="156" s="7" customFormat="1" ht="13.5" customHeight="1"/>
    <row r="157" s="7" customFormat="1" ht="13.5" customHeight="1"/>
    <row r="158" s="7" customFormat="1" ht="13.5" customHeight="1"/>
    <row r="159" s="7" customFormat="1" ht="13.5" customHeight="1"/>
    <row r="160" s="7" customFormat="1" ht="13.5" customHeight="1"/>
    <row r="161" s="7" customFormat="1" ht="13.5" customHeight="1"/>
    <row r="162" s="7" customFormat="1" ht="13.5" customHeight="1"/>
    <row r="163" s="7" customFormat="1" ht="13.5" customHeight="1"/>
    <row r="164" s="7" customFormat="1" ht="13.5" customHeight="1"/>
    <row r="165" s="7" customFormat="1" ht="13.5" customHeight="1"/>
    <row r="166" s="7" customFormat="1" ht="13.5" customHeight="1"/>
    <row r="167" s="7" customFormat="1" ht="13.5" customHeight="1"/>
    <row r="168" s="7" customFormat="1" ht="13.5" customHeight="1"/>
    <row r="169" s="7" customFormat="1" ht="13.5" customHeight="1"/>
    <row r="170" s="7" customFormat="1" ht="13.5" customHeight="1"/>
    <row r="171" s="7" customFormat="1" ht="13.5" customHeight="1"/>
    <row r="172" s="7" customFormat="1" ht="13.5" customHeight="1"/>
    <row r="173" s="7" customFormat="1" ht="13.5" customHeight="1"/>
    <row r="174" s="7" customFormat="1" ht="13.5" customHeight="1"/>
    <row r="175" s="7" customFormat="1" ht="13.5" customHeight="1"/>
    <row r="176" s="7" customFormat="1" ht="13.5" customHeight="1"/>
    <row r="177" s="7" customFormat="1" ht="13.5" customHeight="1"/>
    <row r="178" s="7" customFormat="1" ht="13.5" customHeight="1"/>
    <row r="179" s="7" customFormat="1" ht="13.5" customHeight="1"/>
    <row r="180" s="7" customFormat="1" ht="13.5" customHeight="1"/>
    <row r="181" s="7" customFormat="1" ht="13.5" customHeight="1"/>
    <row r="182" s="7" customFormat="1" ht="13.5" customHeight="1"/>
    <row r="183" s="7" customFormat="1" ht="13.5" customHeight="1"/>
    <row r="184" s="7" customFormat="1" ht="13.5" customHeight="1"/>
    <row r="185" s="7" customFormat="1" ht="13.5" customHeight="1"/>
    <row r="186" s="7" customFormat="1" ht="13.5" customHeight="1"/>
    <row r="187" s="7" customFormat="1" ht="13.5" customHeight="1"/>
    <row r="188" s="7" customFormat="1" ht="13.5" customHeight="1"/>
    <row r="189" s="7" customFormat="1" ht="13.5" customHeight="1"/>
    <row r="190" s="7" customFormat="1" ht="13.5" customHeight="1"/>
    <row r="191" s="7" customFormat="1" ht="13.5" customHeight="1"/>
    <row r="192" s="7" customFormat="1" ht="13.5" customHeight="1"/>
    <row r="193" s="7" customFormat="1" ht="13.5" customHeight="1"/>
    <row r="194" s="7" customFormat="1" ht="13.5" customHeight="1"/>
    <row r="195" s="7" customFormat="1" ht="13.5" customHeight="1"/>
    <row r="196" s="7" customFormat="1" ht="13.5" customHeight="1"/>
    <row r="197" s="7" customFormat="1" ht="13.5" customHeight="1"/>
    <row r="198" s="7" customFormat="1" ht="13.5" customHeight="1"/>
    <row r="199" s="7" customFormat="1" ht="13.5" customHeight="1"/>
    <row r="200" s="7" customFormat="1" ht="13.5" customHeight="1"/>
    <row r="201" s="7" customFormat="1" ht="13.5" customHeight="1"/>
    <row r="202" s="7" customFormat="1" ht="13.5" customHeight="1"/>
    <row r="203" s="7" customFormat="1" ht="13.5" customHeight="1"/>
    <row r="204" s="7" customFormat="1" ht="13.5" customHeight="1"/>
    <row r="205" s="7" customFormat="1" ht="13.5" customHeight="1"/>
    <row r="206" s="7" customFormat="1" ht="13.5" customHeight="1"/>
    <row r="207" s="7" customFormat="1" ht="13.5" customHeight="1"/>
    <row r="208" s="7" customFormat="1" ht="13.5" customHeight="1"/>
    <row r="209" s="7" customFormat="1" ht="13.5" customHeight="1"/>
    <row r="210" s="7" customFormat="1" ht="13.5" customHeight="1"/>
    <row r="211" s="7" customFormat="1" ht="13.5" customHeight="1"/>
    <row r="212" s="7" customFormat="1" ht="13.5" customHeight="1"/>
    <row r="213" s="7" customFormat="1" ht="13.5" customHeight="1"/>
    <row r="214" s="7" customFormat="1" ht="13.5" customHeight="1"/>
    <row r="215" s="7" customFormat="1" ht="13.5" customHeight="1"/>
    <row r="216" s="7" customFormat="1" ht="13.5" customHeight="1"/>
    <row r="217" s="7" customFormat="1" ht="13.5" customHeight="1"/>
    <row r="218" s="7" customFormat="1" ht="13.5" customHeight="1"/>
    <row r="219" s="7" customFormat="1" ht="13.5" customHeight="1"/>
    <row r="220" s="7" customFormat="1" ht="13.5" customHeight="1"/>
    <row r="221" s="7" customFormat="1" ht="13.5" customHeight="1"/>
    <row r="222" s="7" customFormat="1" ht="13.5" customHeight="1"/>
    <row r="223" s="7" customFormat="1" ht="13.5" customHeight="1"/>
    <row r="224" s="7" customFormat="1" ht="13.5" customHeight="1"/>
    <row r="225" s="7" customFormat="1" ht="13.5" customHeight="1"/>
    <row r="226" s="7" customFormat="1" ht="13.5" customHeight="1"/>
    <row r="227" s="7" customFormat="1" ht="13.5" customHeight="1"/>
    <row r="228" s="7" customFormat="1" ht="13.5" customHeight="1"/>
    <row r="229" s="7" customFormat="1" ht="13.5" customHeight="1"/>
    <row r="230" s="7" customFormat="1" ht="13.5" customHeight="1"/>
    <row r="231" s="7" customFormat="1" ht="13.5" customHeight="1"/>
    <row r="232" s="7" customFormat="1" ht="13.5" customHeight="1"/>
    <row r="233" s="7" customFormat="1" ht="13.5" customHeight="1"/>
    <row r="234" s="7" customFormat="1" ht="13.5" customHeight="1"/>
    <row r="235" s="7" customFormat="1" ht="13.5" customHeight="1"/>
    <row r="236" s="7" customFormat="1" ht="13.5" customHeight="1"/>
    <row r="237" s="7" customFormat="1" ht="13.5" customHeight="1"/>
    <row r="238" s="7" customFormat="1" ht="13.5" customHeight="1"/>
    <row r="239" s="7" customFormat="1" ht="13.5" customHeight="1"/>
    <row r="240" s="7" customFormat="1" ht="13.5" customHeight="1"/>
    <row r="241" s="7" customFormat="1" ht="13.5" customHeight="1"/>
    <row r="242" s="7" customFormat="1" ht="13.5" customHeight="1"/>
    <row r="243" s="7" customFormat="1" ht="13.5" customHeight="1"/>
    <row r="244" s="7" customFormat="1" ht="13.5" customHeight="1"/>
    <row r="245" s="7" customFormat="1" ht="13.5" customHeight="1"/>
    <row r="246" s="7" customFormat="1" ht="13.5" customHeight="1"/>
    <row r="247" s="7" customFormat="1" ht="13.5" customHeight="1"/>
    <row r="248" s="7" customFormat="1" ht="13.5" customHeight="1"/>
    <row r="249" s="7" customFormat="1" ht="13.5" customHeight="1"/>
    <row r="250" s="7" customFormat="1" ht="13.5" customHeight="1"/>
    <row r="251" s="7" customFormat="1" ht="13.5" customHeight="1"/>
    <row r="252" s="7" customFormat="1" ht="13.5" customHeight="1"/>
    <row r="253" s="7" customFormat="1" ht="13.5" customHeight="1"/>
    <row r="254" s="7" customFormat="1" ht="13.5" customHeight="1"/>
    <row r="255" s="7" customFormat="1" ht="13.5" customHeight="1"/>
    <row r="256" s="7" customFormat="1" ht="13.5" customHeight="1"/>
    <row r="257" s="7" customFormat="1" ht="13.5" customHeight="1"/>
    <row r="258" s="7" customFormat="1" ht="13.5" customHeight="1"/>
    <row r="259" s="7" customFormat="1" ht="13.5" customHeight="1"/>
    <row r="260" s="7" customFormat="1" ht="13.5" customHeight="1"/>
    <row r="261" s="7" customFormat="1" ht="13.5" customHeight="1"/>
    <row r="262" s="7" customFormat="1" ht="13.5" customHeight="1"/>
    <row r="263" s="7" customFormat="1" ht="13.5" customHeight="1"/>
    <row r="264" s="7" customFormat="1" ht="13.5" customHeight="1"/>
    <row r="265" s="7" customFormat="1" ht="13.5" customHeight="1"/>
    <row r="266" s="7" customFormat="1" ht="13.5" customHeight="1"/>
    <row r="267" s="7" customFormat="1" ht="13.5" customHeight="1"/>
    <row r="268" s="7" customFormat="1" ht="13.5" customHeight="1"/>
    <row r="269" s="7" customFormat="1" ht="13.5" customHeight="1"/>
    <row r="270" s="7" customFormat="1" ht="13.5" customHeight="1"/>
    <row r="271" s="7" customFormat="1" ht="13.5" customHeight="1"/>
    <row r="272" s="7" customFormat="1" ht="13.5" customHeight="1"/>
    <row r="273" s="7" customFormat="1" ht="13.5" customHeight="1"/>
    <row r="274" s="7" customFormat="1" ht="13.5" customHeight="1"/>
    <row r="275" s="7" customFormat="1" ht="13.5" customHeight="1"/>
    <row r="276" s="7" customFormat="1" ht="13.5" customHeight="1"/>
    <row r="277" s="7" customFormat="1" ht="13.5" customHeight="1"/>
    <row r="278" s="7" customFormat="1" ht="13.5" customHeight="1"/>
    <row r="279" s="7" customFormat="1" ht="13.5" customHeight="1"/>
    <row r="280" s="7" customFormat="1" ht="13.5" customHeight="1"/>
    <row r="281" s="7" customFormat="1" ht="13.5" customHeight="1"/>
    <row r="282" s="7" customFormat="1" ht="13.5" customHeight="1"/>
    <row r="283" s="7" customFormat="1" ht="13.5" customHeight="1"/>
    <row r="284" s="7" customFormat="1" ht="13.5" customHeight="1"/>
    <row r="285" s="7" customFormat="1" ht="13.5" customHeight="1"/>
    <row r="286" s="7" customFormat="1" ht="13.5" customHeight="1"/>
    <row r="287" s="7" customFormat="1" ht="13.5" customHeight="1"/>
    <row r="288" s="7" customFormat="1" ht="13.5" customHeight="1"/>
    <row r="289" s="7" customFormat="1" ht="13.5" customHeight="1"/>
    <row r="290" s="7" customFormat="1" ht="13.5" customHeight="1"/>
    <row r="291" s="7" customFormat="1" ht="13.5" customHeight="1"/>
    <row r="292" s="7" customFormat="1" ht="13.5" customHeight="1"/>
    <row r="293" s="7" customFormat="1" ht="13.5" customHeight="1"/>
    <row r="294" s="7" customFormat="1" ht="13.5" customHeight="1"/>
    <row r="295" s="7" customFormat="1" ht="13.5" customHeight="1"/>
    <row r="296" s="7" customFormat="1" ht="13.5" customHeight="1"/>
    <row r="297" s="7" customFormat="1" ht="13.5" customHeight="1"/>
    <row r="298" s="7" customFormat="1" ht="13.5" customHeight="1"/>
    <row r="299" s="7" customFormat="1" ht="13.5" customHeight="1"/>
    <row r="300" s="7" customFormat="1" ht="13.5" customHeight="1"/>
    <row r="301" s="7" customFormat="1" ht="13.5" customHeight="1"/>
    <row r="302" s="7" customFormat="1" ht="13.5" customHeight="1"/>
    <row r="303" s="7" customFormat="1" ht="13.5" customHeight="1"/>
    <row r="304" s="7" customFormat="1" ht="13.5" customHeight="1"/>
    <row r="305" s="7" customFormat="1" ht="13.5" customHeight="1"/>
    <row r="306" s="7" customFormat="1" ht="13.5" customHeight="1"/>
    <row r="307" s="7" customFormat="1" ht="13.5" customHeight="1"/>
    <row r="308" s="7" customFormat="1" ht="13.5" customHeight="1"/>
    <row r="309" s="7" customFormat="1" ht="13.5" customHeight="1"/>
    <row r="310" s="7" customFormat="1" ht="13.5" customHeight="1"/>
    <row r="311" s="7" customFormat="1" ht="13.5" customHeight="1"/>
    <row r="312" s="7" customFormat="1" ht="13.5" customHeight="1"/>
    <row r="313" s="7" customFormat="1" ht="13.5" customHeight="1"/>
    <row r="314" s="7" customFormat="1" ht="13.5" customHeight="1"/>
    <row r="315" s="7" customFormat="1" ht="13.5" customHeight="1"/>
    <row r="316" s="7" customFormat="1" ht="13.5" customHeight="1"/>
    <row r="317" s="7" customFormat="1" ht="13.5" customHeight="1"/>
    <row r="318" s="7" customFormat="1" ht="13.5" customHeight="1"/>
    <row r="319" s="7" customFormat="1" ht="13.5" customHeight="1"/>
    <row r="320" s="7" customFormat="1" ht="13.5" customHeight="1"/>
    <row r="321" s="7" customFormat="1" ht="13.5" customHeight="1"/>
    <row r="322" s="7" customFormat="1" ht="13.5" customHeight="1"/>
    <row r="323" s="7" customFormat="1" ht="13.5" customHeight="1"/>
    <row r="324" s="7" customFormat="1" ht="13.5" customHeight="1"/>
    <row r="325" s="7" customFormat="1" ht="13.5" customHeight="1"/>
    <row r="326" s="7" customFormat="1" ht="13.5" customHeight="1"/>
    <row r="327" s="7" customFormat="1" ht="13.5" customHeight="1"/>
    <row r="328" s="7" customFormat="1" ht="13.5" customHeight="1"/>
    <row r="329" s="7" customFormat="1" ht="13.5" customHeight="1"/>
    <row r="330" s="7" customFormat="1" ht="13.5" customHeight="1"/>
    <row r="331" s="7" customFormat="1" ht="13.5" customHeight="1"/>
    <row r="332" s="7" customFormat="1" ht="13.5" customHeight="1"/>
    <row r="333" s="7" customFormat="1" ht="13.5" customHeight="1"/>
    <row r="334" s="7" customFormat="1" ht="13.5" customHeight="1"/>
    <row r="335" s="7" customFormat="1" ht="13.5" customHeight="1"/>
    <row r="336" s="7" customFormat="1" ht="13.5" customHeight="1"/>
    <row r="337" s="7" customFormat="1" ht="13.5" customHeight="1"/>
    <row r="338" s="7" customFormat="1" ht="13.5" customHeight="1"/>
    <row r="339" s="7" customFormat="1" ht="13.5" customHeight="1"/>
    <row r="340" s="7" customFormat="1" ht="13.5" customHeight="1"/>
    <row r="341" s="7" customFormat="1" ht="13.5" customHeight="1"/>
    <row r="342" s="7" customFormat="1" ht="13.5" customHeight="1"/>
    <row r="343" s="7" customFormat="1" ht="13.5" customHeight="1"/>
    <row r="344" s="7" customFormat="1" ht="13.5" customHeight="1"/>
    <row r="345" s="7" customFormat="1" ht="13.5" customHeight="1"/>
    <row r="346" s="7" customFormat="1" ht="13.5" customHeight="1"/>
    <row r="347" s="7" customFormat="1" ht="13.5" customHeight="1"/>
    <row r="348" s="7" customFormat="1" ht="13.5" customHeight="1"/>
    <row r="349" s="7" customFormat="1" ht="13.5" customHeight="1"/>
    <row r="350" s="7" customFormat="1" ht="13.5" customHeight="1"/>
    <row r="351" s="7" customFormat="1" ht="13.5" customHeight="1"/>
    <row r="352" s="7" customFormat="1" ht="13.5" customHeight="1"/>
    <row r="353" s="7" customFormat="1" ht="13.5" customHeight="1"/>
    <row r="354" s="7" customFormat="1" ht="13.5" customHeight="1"/>
    <row r="355" s="7" customFormat="1" ht="13.5" customHeight="1"/>
    <row r="356" s="7" customFormat="1" ht="13.5" customHeight="1"/>
    <row r="357" s="7" customFormat="1" ht="13.5" customHeight="1"/>
    <row r="358" s="7" customFormat="1" ht="13.5" customHeight="1"/>
    <row r="359" s="7" customFormat="1" ht="13.5" customHeight="1"/>
    <row r="360" s="7" customFormat="1" ht="13.5" customHeight="1"/>
    <row r="361" s="7" customFormat="1" ht="13.5" customHeight="1"/>
    <row r="362" s="7" customFormat="1" ht="13.5" customHeight="1"/>
    <row r="363" s="7" customFormat="1" ht="13.5" customHeight="1"/>
    <row r="364" s="7" customFormat="1" ht="13.5" customHeight="1"/>
    <row r="365" s="7" customFormat="1" ht="13.5" customHeight="1"/>
    <row r="366" s="7" customFormat="1" ht="13.5" customHeight="1"/>
    <row r="367" s="7" customFormat="1" ht="13.5" customHeight="1"/>
    <row r="368" s="7" customFormat="1" ht="13.5" customHeight="1"/>
    <row r="369" s="7" customFormat="1" ht="13.5" customHeight="1"/>
    <row r="370" s="7" customFormat="1" ht="13.5" customHeight="1"/>
    <row r="371" s="7" customFormat="1" ht="13.5" customHeight="1"/>
    <row r="372" s="7" customFormat="1" ht="13.5" customHeight="1"/>
    <row r="373" s="7" customFormat="1" ht="13.5" customHeight="1"/>
    <row r="374" s="7" customFormat="1" ht="13.5" customHeight="1"/>
    <row r="375" s="7" customFormat="1" ht="13.5" customHeight="1"/>
    <row r="376" s="7" customFormat="1" ht="13.5" customHeight="1"/>
    <row r="377" s="7" customFormat="1" ht="13.5" customHeight="1"/>
    <row r="378" s="7" customFormat="1" ht="13.5" customHeight="1"/>
    <row r="379" s="7" customFormat="1" ht="13.5" customHeight="1"/>
    <row r="380" s="7" customFormat="1" ht="13.5" customHeight="1"/>
    <row r="381" s="7" customFormat="1" ht="13.5" customHeight="1"/>
    <row r="382" s="7" customFormat="1" ht="13.5" customHeight="1"/>
    <row r="383" s="7" customFormat="1" ht="13.5" customHeight="1"/>
    <row r="384" s="7" customFormat="1" ht="13.5" customHeight="1"/>
    <row r="385" s="7" customFormat="1" ht="13.5" customHeight="1"/>
    <row r="386" s="7" customFormat="1" ht="13.5" customHeight="1"/>
    <row r="387" s="7" customFormat="1" ht="13.5" customHeight="1"/>
    <row r="388" s="7" customFormat="1" ht="13.5" customHeight="1"/>
    <row r="389" s="7" customFormat="1" ht="13.5" customHeight="1"/>
    <row r="390" s="7" customFormat="1" ht="13.5" customHeight="1"/>
    <row r="391" s="7" customFormat="1" ht="13.5" customHeight="1"/>
    <row r="392" s="7" customFormat="1" ht="13.5" customHeight="1"/>
    <row r="393" s="7" customFormat="1" ht="13.5" customHeight="1"/>
    <row r="394" s="7" customFormat="1" ht="13.5" customHeight="1"/>
    <row r="395" s="7" customFormat="1" ht="13.5" customHeight="1"/>
    <row r="396" s="7" customFormat="1" ht="13.5" customHeight="1"/>
    <row r="397" s="7" customFormat="1" ht="13.5" customHeight="1"/>
    <row r="398" s="7" customFormat="1" ht="13.5" customHeight="1"/>
    <row r="399" s="7" customFormat="1" ht="13.5" customHeight="1"/>
    <row r="400" s="7" customFormat="1" ht="13.5" customHeight="1"/>
    <row r="401" s="7" customFormat="1" ht="13.5" customHeight="1"/>
    <row r="402" s="7" customFormat="1" ht="13.5" customHeight="1"/>
    <row r="403" s="7" customFormat="1" ht="13.5" customHeight="1"/>
    <row r="404" s="7" customFormat="1" ht="13.5" customHeight="1"/>
    <row r="405" s="7" customFormat="1" ht="13.5" customHeight="1"/>
    <row r="406" s="7" customFormat="1" ht="13.5" customHeight="1"/>
    <row r="407" s="7" customFormat="1" ht="13.5" customHeight="1"/>
    <row r="408" s="7" customFormat="1" ht="13.5" customHeight="1"/>
    <row r="409" s="7" customFormat="1" ht="13.5" customHeight="1"/>
    <row r="410" s="7" customFormat="1" ht="13.5" customHeight="1"/>
    <row r="411" s="7" customFormat="1" ht="13.5" customHeight="1"/>
    <row r="412" s="7" customFormat="1" ht="13.5" customHeight="1"/>
    <row r="413" s="7" customFormat="1" ht="13.5" customHeight="1"/>
    <row r="414" s="7" customFormat="1" ht="13.5" customHeight="1"/>
    <row r="415" s="7" customFormat="1" ht="13.5" customHeight="1"/>
    <row r="416" s="7" customFormat="1" ht="13.5" customHeight="1"/>
    <row r="417" s="7" customFormat="1" ht="13.5" customHeight="1"/>
    <row r="418" s="7" customFormat="1" ht="13.5" customHeight="1"/>
    <row r="419" s="7" customFormat="1" ht="13.5" customHeight="1"/>
    <row r="420" s="7" customFormat="1" ht="13.5" customHeight="1"/>
    <row r="421" s="7" customFormat="1" ht="13.5" customHeight="1"/>
    <row r="422" s="7" customFormat="1" ht="13.5" customHeight="1"/>
    <row r="423" s="7" customFormat="1" ht="13.5" customHeight="1"/>
    <row r="424" s="7" customFormat="1" ht="13.5" customHeight="1"/>
    <row r="425" s="7" customFormat="1" ht="13.5" customHeight="1"/>
    <row r="426" s="7" customFormat="1" ht="13.5" customHeight="1"/>
    <row r="427" s="7" customFormat="1" ht="13.5" customHeight="1"/>
    <row r="428" s="7" customFormat="1" ht="13.5" customHeight="1"/>
    <row r="429" s="7" customFormat="1" ht="13.5" customHeight="1"/>
    <row r="430" s="7" customFormat="1" ht="13.5" customHeight="1"/>
    <row r="431" s="7" customFormat="1" ht="13.5" customHeight="1"/>
    <row r="432" s="7" customFormat="1" ht="13.5" customHeight="1"/>
    <row r="433" s="7" customFormat="1" ht="13.5" customHeight="1"/>
    <row r="434" s="7" customFormat="1" ht="13.5" customHeight="1"/>
    <row r="435" s="7" customFormat="1" ht="13.5" customHeight="1"/>
    <row r="436" s="7" customFormat="1" ht="13.5" customHeight="1"/>
    <row r="437" s="7" customFormat="1" ht="13.5" customHeight="1"/>
    <row r="438" s="7" customFormat="1" ht="13.5" customHeight="1"/>
    <row r="439" s="7" customFormat="1" ht="13.5" customHeight="1"/>
    <row r="440" s="7" customFormat="1" ht="13.5" customHeight="1"/>
    <row r="441" s="7" customFormat="1" ht="13.5" customHeight="1"/>
    <row r="442" s="7" customFormat="1" ht="13.5" customHeight="1"/>
    <row r="443" s="7" customFormat="1" ht="13.5" customHeight="1"/>
    <row r="444" s="7" customFormat="1" ht="13.5" customHeight="1"/>
    <row r="445" s="7" customFormat="1" ht="13.5" customHeight="1"/>
    <row r="446" s="7" customFormat="1" ht="13.5" customHeight="1"/>
    <row r="447" s="7" customFormat="1" ht="13.5" customHeight="1"/>
    <row r="448" s="7" customFormat="1" ht="13.5" customHeight="1"/>
    <row r="449" s="7" customFormat="1" ht="13.5" customHeight="1"/>
    <row r="450" s="7" customFormat="1" ht="13.5" customHeight="1"/>
    <row r="451" s="7" customFormat="1" ht="13.5" customHeight="1"/>
    <row r="452" s="7" customFormat="1" ht="13.5" customHeight="1"/>
    <row r="453" s="7" customFormat="1" ht="13.5" customHeight="1"/>
    <row r="454" s="7" customFormat="1" ht="13.5" customHeight="1"/>
    <row r="455" s="7" customFormat="1" ht="13.5" customHeight="1"/>
    <row r="456" s="7" customFormat="1" ht="13.5" customHeight="1"/>
    <row r="457" s="7" customFormat="1" ht="13.5" customHeight="1"/>
    <row r="458" s="7" customFormat="1" ht="13.5" customHeight="1"/>
    <row r="459" s="7" customFormat="1" ht="13.5" customHeight="1"/>
    <row r="460" s="7" customFormat="1" ht="13.5" customHeight="1"/>
    <row r="461" s="7" customFormat="1" ht="13.5" customHeight="1"/>
    <row r="462" s="7" customFormat="1" ht="13.5" customHeight="1"/>
    <row r="463" s="7" customFormat="1" ht="13.5" customHeight="1"/>
    <row r="464" s="7" customFormat="1" ht="13.5" customHeight="1"/>
    <row r="465" s="7" customFormat="1" ht="13.5" customHeight="1"/>
    <row r="466" s="7" customFormat="1" ht="13.5" customHeight="1"/>
    <row r="467" s="7" customFormat="1" ht="13.5" customHeight="1"/>
    <row r="468" s="7" customFormat="1" ht="13.5" customHeight="1"/>
    <row r="469" s="7" customFormat="1" ht="13.5" customHeight="1"/>
    <row r="470" s="7" customFormat="1" ht="13.5" customHeight="1"/>
    <row r="471" s="7" customFormat="1" ht="13.5" customHeight="1"/>
    <row r="472" s="7" customFormat="1" ht="13.5" customHeight="1"/>
    <row r="473" s="7" customFormat="1" ht="13.5" customHeight="1"/>
    <row r="474" s="7" customFormat="1" ht="13.5" customHeight="1"/>
    <row r="475" s="7" customFormat="1" ht="13.5" customHeight="1"/>
    <row r="476" s="7" customFormat="1" ht="13.5" customHeight="1"/>
    <row r="477" s="7" customFormat="1" ht="13.5" customHeight="1"/>
    <row r="478" s="7" customFormat="1" ht="13.5" customHeight="1"/>
    <row r="479" s="7" customFormat="1" ht="13.5" customHeight="1"/>
    <row r="480" s="7" customFormat="1" ht="13.5" customHeight="1"/>
    <row r="481" s="7" customFormat="1" ht="13.5" customHeight="1"/>
    <row r="482" s="7" customFormat="1" ht="13.5" customHeight="1"/>
    <row r="483" s="7" customFormat="1" ht="13.5" customHeight="1"/>
    <row r="484" s="7" customFormat="1" ht="13.5" customHeight="1"/>
    <row r="485" s="7" customFormat="1" ht="13.5" customHeight="1"/>
    <row r="486" s="7" customFormat="1" ht="13.5" customHeight="1"/>
    <row r="487" s="7" customFormat="1" ht="13.5" customHeight="1"/>
    <row r="488" s="7" customFormat="1" ht="13.5" customHeight="1"/>
    <row r="489" s="7" customFormat="1" ht="13.5" customHeight="1"/>
    <row r="490" s="7" customFormat="1" ht="13.5" customHeight="1"/>
    <row r="491" s="7" customFormat="1" ht="13.5" customHeight="1"/>
    <row r="492" s="7" customFormat="1" ht="13.5" customHeight="1"/>
    <row r="493" s="7" customFormat="1" ht="13.5" customHeight="1"/>
    <row r="494" s="7" customFormat="1" ht="13.5" customHeight="1"/>
    <row r="495" s="7" customFormat="1" ht="13.5" customHeight="1"/>
    <row r="496" s="7" customFormat="1" ht="13.5" customHeight="1"/>
    <row r="497" s="7" customFormat="1" ht="13.5" customHeight="1"/>
    <row r="498" s="7" customFormat="1" ht="13.5" customHeight="1"/>
    <row r="499" s="7" customFormat="1" ht="13.5" customHeight="1"/>
    <row r="500" s="7" customFormat="1" ht="13.5" customHeight="1"/>
    <row r="501" s="7" customFormat="1" ht="13.5" customHeight="1"/>
    <row r="502" s="7" customFormat="1" ht="13.5" customHeight="1"/>
    <row r="503" s="7" customFormat="1" ht="13.5" customHeight="1"/>
    <row r="504" s="7" customFormat="1" ht="13.5" customHeight="1"/>
    <row r="505" s="7" customFormat="1" ht="13.5" customHeight="1"/>
    <row r="506" s="7" customFormat="1" ht="13.5" customHeight="1"/>
    <row r="507" s="7" customFormat="1" ht="13.5" customHeight="1"/>
    <row r="508" s="7" customFormat="1" ht="13.5" customHeight="1"/>
    <row r="509" s="7" customFormat="1" ht="13.5" customHeight="1"/>
    <row r="510" s="7" customFormat="1" ht="13.5" customHeight="1"/>
    <row r="511" s="7" customFormat="1" ht="13.5" customHeight="1"/>
    <row r="512" s="7" customFormat="1" ht="13.5" customHeight="1"/>
    <row r="513" s="7" customFormat="1" ht="13.5" customHeight="1"/>
    <row r="514" s="7" customFormat="1" ht="13.5" customHeight="1"/>
    <row r="515" s="7" customFormat="1" ht="13.5" customHeight="1"/>
    <row r="516" s="7" customFormat="1" ht="13.5" customHeight="1"/>
    <row r="517" s="7" customFormat="1" ht="13.5" customHeight="1"/>
    <row r="518" s="7" customFormat="1" ht="13.5" customHeight="1"/>
    <row r="519" s="7" customFormat="1" ht="13.5" customHeight="1"/>
    <row r="520" s="7" customFormat="1" ht="13.5" customHeight="1"/>
    <row r="521" s="7" customFormat="1" ht="13.5" customHeight="1"/>
    <row r="522" s="7" customFormat="1" ht="13.5" customHeight="1"/>
    <row r="523" s="7" customFormat="1" ht="13.5" customHeight="1"/>
    <row r="524" s="7" customFormat="1" ht="13.5" customHeight="1"/>
    <row r="525" s="7" customFormat="1" ht="13.5" customHeight="1"/>
    <row r="526" s="7" customFormat="1" ht="13.5" customHeight="1"/>
    <row r="527" s="7" customFormat="1" ht="13.5" customHeight="1"/>
    <row r="528" s="7" customFormat="1" ht="13.5" customHeight="1"/>
    <row r="529" s="7" customFormat="1" ht="13.5" customHeight="1"/>
    <row r="530" s="7" customFormat="1" ht="13.5" customHeight="1"/>
    <row r="531" s="7" customFormat="1" ht="13.5" customHeight="1"/>
    <row r="532" s="7" customFormat="1" ht="13.5" customHeight="1"/>
    <row r="533" s="7" customFormat="1" ht="13.5" customHeight="1"/>
    <row r="534" s="7" customFormat="1" ht="13.5" customHeight="1"/>
    <row r="535" s="7" customFormat="1" ht="13.5" customHeight="1"/>
    <row r="536" s="7" customFormat="1" ht="13.5" customHeight="1"/>
    <row r="537" s="7" customFormat="1" ht="13.5" customHeight="1"/>
    <row r="538" s="7" customFormat="1" ht="13.5" customHeight="1"/>
    <row r="539" s="7" customFormat="1" ht="13.5" customHeight="1"/>
    <row r="540" s="7" customFormat="1" ht="13.5" customHeight="1"/>
    <row r="541" s="7" customFormat="1" ht="13.5" customHeight="1"/>
    <row r="542" s="7" customFormat="1" ht="13.5" customHeight="1"/>
    <row r="543" s="7" customFormat="1" ht="13.5" customHeight="1"/>
    <row r="544" s="7" customFormat="1" ht="13.5" customHeight="1"/>
    <row r="545" s="7" customFormat="1" ht="13.5" customHeight="1"/>
    <row r="546" s="7" customFormat="1" ht="13.5" customHeight="1"/>
    <row r="547" s="7" customFormat="1" ht="13.5" customHeight="1"/>
    <row r="548" s="7" customFormat="1" ht="13.5" customHeight="1"/>
    <row r="549" s="7" customFormat="1" ht="13.5" customHeight="1"/>
    <row r="550" s="7" customFormat="1" ht="13.5" customHeight="1"/>
    <row r="551" s="7" customFormat="1" ht="13.5" customHeight="1"/>
    <row r="552" s="7" customFormat="1" ht="13.5" customHeight="1"/>
    <row r="553" s="7" customFormat="1" ht="13.5" customHeight="1"/>
    <row r="554" s="7" customFormat="1" ht="13.5" customHeight="1"/>
    <row r="555" s="7" customFormat="1" ht="13.5" customHeight="1"/>
    <row r="556" s="7" customFormat="1" ht="13.5" customHeight="1"/>
    <row r="557" s="7" customFormat="1" ht="13.5" customHeight="1"/>
    <row r="558" s="7" customFormat="1" ht="13.5" customHeight="1"/>
    <row r="559" s="7" customFormat="1" ht="13.5" customHeight="1"/>
    <row r="560" s="7" customFormat="1" ht="13.5" customHeight="1"/>
    <row r="561" s="7" customFormat="1" ht="13.5" customHeight="1"/>
    <row r="562" s="7" customFormat="1" ht="13.5" customHeight="1"/>
    <row r="563" s="7" customFormat="1" ht="13.5" customHeight="1"/>
    <row r="564" s="7" customFormat="1" ht="13.5" customHeight="1"/>
    <row r="565" s="7" customFormat="1" ht="13.5" customHeight="1"/>
    <row r="566" s="7" customFormat="1" ht="13.5" customHeight="1"/>
    <row r="567" s="7" customFormat="1" ht="13.5" customHeight="1"/>
    <row r="568" s="7" customFormat="1" ht="13.5" customHeight="1"/>
    <row r="569" s="7" customFormat="1" ht="13.5" customHeight="1"/>
    <row r="570" s="7" customFormat="1" ht="13.5" customHeight="1"/>
    <row r="571" s="7" customFormat="1" ht="13.5" customHeight="1"/>
    <row r="572" s="7" customFormat="1" ht="13.5" customHeight="1"/>
    <row r="573" s="7" customFormat="1" ht="13.5" customHeight="1"/>
    <row r="574" s="7" customFormat="1" ht="13.5" customHeight="1"/>
    <row r="575" s="7" customFormat="1" ht="13.5" customHeight="1"/>
    <row r="576" s="7" customFormat="1" ht="13.5" customHeight="1"/>
    <row r="577" s="7" customFormat="1" ht="13.5" customHeight="1"/>
    <row r="578" s="7" customFormat="1" ht="13.5" customHeight="1"/>
    <row r="579" s="7" customFormat="1" ht="13.5" customHeight="1"/>
    <row r="580" s="7" customFormat="1" ht="13.5" customHeight="1"/>
    <row r="581" s="7" customFormat="1" ht="13.5" customHeight="1"/>
    <row r="582" s="7" customFormat="1" ht="13.5" customHeight="1"/>
    <row r="583" s="7" customFormat="1" ht="13.5" customHeight="1"/>
    <row r="584" s="7" customFormat="1" ht="13.5" customHeight="1"/>
    <row r="585" s="7" customFormat="1" ht="13.5" customHeight="1"/>
    <row r="586" s="7" customFormat="1" ht="13.5" customHeight="1"/>
    <row r="587" s="7" customFormat="1" ht="13.5" customHeight="1"/>
    <row r="588" s="7" customFormat="1" ht="13.5" customHeight="1"/>
    <row r="589" s="7" customFormat="1" ht="13.5" customHeight="1"/>
    <row r="590" s="7" customFormat="1" ht="13.5" customHeight="1"/>
    <row r="591" s="7" customFormat="1" ht="13.5" customHeight="1"/>
    <row r="592" s="7" customFormat="1" ht="13.5" customHeight="1"/>
    <row r="593" s="7" customFormat="1" ht="13.5" customHeight="1"/>
    <row r="594" s="7" customFormat="1" ht="13.5" customHeight="1"/>
    <row r="595" s="7" customFormat="1" ht="13.5" customHeight="1"/>
    <row r="596" s="7" customFormat="1" ht="13.5" customHeight="1"/>
    <row r="597" s="7" customFormat="1" ht="13.5" customHeight="1"/>
    <row r="598" s="7" customFormat="1" ht="13.5" customHeight="1"/>
    <row r="599" s="7" customFormat="1" ht="13.5" customHeight="1"/>
    <row r="600" s="7" customFormat="1" ht="13.5" customHeight="1"/>
    <row r="601" s="7" customFormat="1" ht="13.5" customHeight="1"/>
    <row r="602" s="7" customFormat="1" ht="13.5" customHeight="1"/>
    <row r="603" s="7" customFormat="1" ht="13.5" customHeight="1"/>
    <row r="604" s="7" customFormat="1" ht="13.5" customHeight="1"/>
    <row r="605" s="7" customFormat="1" ht="13.5" customHeight="1"/>
    <row r="606" s="7" customFormat="1" ht="13.5" customHeight="1"/>
    <row r="607" s="7" customFormat="1" ht="13.5" customHeight="1"/>
    <row r="608" s="7" customFormat="1" ht="13.5" customHeight="1"/>
    <row r="609" s="7" customFormat="1" ht="13.5" customHeight="1"/>
    <row r="610" s="7" customFormat="1" ht="13.5" customHeight="1"/>
    <row r="611" s="7" customFormat="1" ht="13.5" customHeight="1"/>
    <row r="612" s="7" customFormat="1" ht="13.5" customHeight="1"/>
    <row r="613" s="7" customFormat="1" ht="13.5" customHeight="1"/>
    <row r="614" s="7" customFormat="1" ht="13.5" customHeight="1"/>
    <row r="615" s="7" customFormat="1" ht="13.5" customHeight="1"/>
    <row r="616" s="7" customFormat="1" ht="13.5" customHeight="1"/>
    <row r="617" s="7" customFormat="1" ht="13.5" customHeight="1"/>
    <row r="618" s="7" customFormat="1" ht="13.5" customHeight="1"/>
    <row r="619" s="7" customFormat="1" ht="13.5" customHeight="1"/>
    <row r="620" s="7" customFormat="1" ht="13.5" customHeight="1"/>
    <row r="621" s="7" customFormat="1" ht="13.5" customHeight="1"/>
    <row r="622" s="7" customFormat="1" ht="13.5" customHeight="1"/>
    <row r="623" s="7" customFormat="1" ht="13.5" customHeight="1"/>
    <row r="624" s="7" customFormat="1" ht="13.5" customHeight="1"/>
    <row r="625" s="7" customFormat="1" ht="13.5" customHeight="1"/>
    <row r="626" s="7" customFormat="1" ht="13.5" customHeight="1"/>
    <row r="627" s="7" customFormat="1" ht="13.5" customHeight="1"/>
    <row r="628" s="7" customFormat="1" ht="13.5" customHeight="1"/>
    <row r="629" s="7" customFormat="1" ht="13.5" customHeight="1"/>
    <row r="630" s="7" customFormat="1" ht="13.5" customHeight="1"/>
    <row r="631" s="7" customFormat="1" ht="13.5" customHeight="1"/>
    <row r="632" s="7" customFormat="1" ht="13.5" customHeight="1"/>
    <row r="633" s="7" customFormat="1" ht="13.5" customHeight="1"/>
    <row r="634" s="7" customFormat="1" ht="13.5" customHeight="1"/>
    <row r="635" s="7" customFormat="1" ht="13.5" customHeight="1"/>
    <row r="636" s="7" customFormat="1" ht="13.5" customHeight="1"/>
    <row r="637" s="7" customFormat="1" ht="13.5" customHeight="1"/>
    <row r="638" s="7" customFormat="1" ht="13.5" customHeight="1"/>
    <row r="639" s="7" customFormat="1" ht="13.5" customHeight="1"/>
    <row r="640" s="7" customFormat="1" ht="13.5" customHeight="1"/>
    <row r="641" s="7" customFormat="1" ht="13.5" customHeight="1"/>
    <row r="642" s="7" customFormat="1" ht="13.5" customHeight="1"/>
    <row r="643" s="7" customFormat="1" ht="13.5" customHeight="1"/>
    <row r="644" s="7" customFormat="1" ht="13.5" customHeight="1"/>
    <row r="645" s="7" customFormat="1" ht="13.5" customHeight="1"/>
    <row r="646" s="7" customFormat="1" ht="13.5" customHeight="1"/>
    <row r="647" s="7" customFormat="1" ht="13.5" customHeight="1"/>
    <row r="648" s="7" customFormat="1" ht="13.5" customHeight="1"/>
    <row r="649" s="7" customFormat="1" ht="13.5" customHeight="1"/>
    <row r="650" s="7" customFormat="1" ht="13.5" customHeight="1"/>
    <row r="651" s="7" customFormat="1" ht="13.5" customHeight="1"/>
    <row r="652" s="7" customFormat="1" ht="13.5" customHeight="1"/>
    <row r="653" s="7" customFormat="1" ht="13.5" customHeight="1"/>
    <row r="654" s="7" customFormat="1" ht="13.5" customHeight="1"/>
    <row r="655" s="7" customFormat="1" ht="13.5" customHeight="1"/>
    <row r="656" s="7" customFormat="1" ht="13.5" customHeight="1"/>
    <row r="657" s="7" customFormat="1" ht="13.5" customHeight="1"/>
    <row r="658" s="7" customFormat="1" ht="13.5" customHeight="1"/>
    <row r="659" s="7" customFormat="1" ht="13.5" customHeight="1"/>
    <row r="660" s="7" customFormat="1" ht="13.5" customHeight="1"/>
    <row r="661" s="7" customFormat="1" ht="13.5" customHeight="1"/>
    <row r="662" s="7" customFormat="1" ht="13.5" customHeight="1"/>
    <row r="663" s="7" customFormat="1" ht="13.5" customHeight="1"/>
    <row r="664" s="7" customFormat="1" ht="13.5" customHeight="1"/>
    <row r="665" s="7" customFormat="1" ht="13.5" customHeight="1"/>
    <row r="666" s="7" customFormat="1" ht="13.5" customHeight="1"/>
    <row r="667" s="7" customFormat="1" ht="13.5" customHeight="1"/>
    <row r="668" s="7" customFormat="1" ht="13.5" customHeight="1"/>
    <row r="669" s="7" customFormat="1" ht="13.5" customHeight="1"/>
    <row r="670" s="7" customFormat="1" ht="13.5" customHeight="1"/>
    <row r="671" s="7" customFormat="1" ht="13.5" customHeight="1"/>
    <row r="672" s="7" customFormat="1" ht="13.5" customHeight="1"/>
    <row r="673" s="7" customFormat="1" ht="13.5" customHeight="1"/>
    <row r="674" s="7" customFormat="1" ht="13.5" customHeight="1"/>
    <row r="675" s="7" customFormat="1" ht="13.5" customHeight="1"/>
    <row r="676" s="7" customFormat="1" ht="13.5" customHeight="1"/>
    <row r="677" s="7" customFormat="1" ht="13.5" customHeight="1"/>
    <row r="678" s="7" customFormat="1" ht="13.5" customHeight="1"/>
    <row r="679" s="7" customFormat="1" ht="13.5" customHeight="1"/>
    <row r="680" s="7" customFormat="1" ht="13.5" customHeight="1"/>
    <row r="681" s="7" customFormat="1" ht="13.5" customHeight="1"/>
    <row r="682" s="7" customFormat="1" ht="13.5" customHeight="1"/>
    <row r="683" s="7" customFormat="1" ht="13.5" customHeight="1"/>
    <row r="684" s="7" customFormat="1" ht="13.5" customHeight="1"/>
    <row r="685" s="7" customFormat="1" ht="13.5" customHeight="1"/>
    <row r="686" s="7" customFormat="1" ht="13.5" customHeight="1"/>
    <row r="687" s="7" customFormat="1" ht="13.5" customHeight="1"/>
    <row r="688" s="7" customFormat="1" ht="13.5" customHeight="1"/>
    <row r="689" s="7" customFormat="1" ht="13.5" customHeight="1"/>
    <row r="690" s="7" customFormat="1" ht="13.5" customHeight="1"/>
    <row r="691" s="7" customFormat="1" ht="13.5" customHeight="1"/>
    <row r="692" s="7" customFormat="1" ht="13.5" customHeight="1"/>
    <row r="693" s="7" customFormat="1" ht="13.5" customHeight="1"/>
    <row r="694" s="7" customFormat="1" ht="13.5" customHeight="1"/>
    <row r="695" s="7" customFormat="1" ht="13.5" customHeight="1"/>
    <row r="696" s="7" customFormat="1" ht="13.5" customHeight="1"/>
    <row r="697" s="7" customFormat="1" ht="13.5" customHeight="1"/>
    <row r="698" s="7" customFormat="1" ht="13.5" customHeight="1"/>
    <row r="699" s="7" customFormat="1" ht="13.5" customHeight="1"/>
    <row r="700" s="7" customFormat="1" ht="13.5" customHeight="1"/>
    <row r="701" s="7" customFormat="1" ht="13.5" customHeight="1"/>
    <row r="702" s="7" customFormat="1" ht="13.5" customHeight="1"/>
    <row r="703" s="7" customFormat="1" ht="13.5" customHeight="1"/>
    <row r="704" s="7" customFormat="1" ht="13.5" customHeight="1"/>
    <row r="705" s="7" customFormat="1" ht="13.5" customHeight="1"/>
    <row r="706" s="7" customFormat="1" ht="13.5" customHeight="1"/>
    <row r="707" s="7" customFormat="1" ht="13.5" customHeight="1"/>
    <row r="708" s="7" customFormat="1" ht="13.5" customHeight="1"/>
    <row r="709" s="7" customFormat="1" ht="13.5" customHeight="1"/>
    <row r="710" s="7" customFormat="1" ht="13.5" customHeight="1"/>
    <row r="711" s="7" customFormat="1" ht="13.5" customHeight="1"/>
    <row r="712" s="7" customFormat="1" ht="13.5" customHeight="1"/>
    <row r="713" s="7" customFormat="1" ht="13.5" customHeight="1"/>
    <row r="714" s="7" customFormat="1" ht="13.5" customHeight="1"/>
    <row r="715" s="7" customFormat="1" ht="13.5" customHeight="1"/>
    <row r="716" s="7" customFormat="1" ht="13.5" customHeight="1"/>
    <row r="717" s="7" customFormat="1" ht="13.5" customHeight="1"/>
    <row r="718" s="7" customFormat="1" ht="13.5" customHeight="1"/>
    <row r="719" s="7" customFormat="1" ht="13.5" customHeight="1"/>
    <row r="720" s="7" customFormat="1" ht="13.5" customHeight="1"/>
    <row r="721" s="7" customFormat="1" ht="13.5" customHeight="1"/>
    <row r="722" s="7" customFormat="1" ht="13.5" customHeight="1"/>
    <row r="723" s="7" customFormat="1" ht="13.5" customHeight="1"/>
    <row r="724" s="7" customFormat="1" ht="13.5" customHeight="1"/>
    <row r="725" s="7" customFormat="1" ht="13.5" customHeight="1"/>
    <row r="726" s="7" customFormat="1" ht="13.5" customHeight="1"/>
    <row r="727" s="7" customFormat="1" ht="13.5" customHeight="1"/>
    <row r="728" s="7" customFormat="1" ht="13.5" customHeight="1"/>
    <row r="729" s="7" customFormat="1" ht="13.5" customHeight="1"/>
    <row r="730" s="7" customFormat="1" ht="13.5" customHeight="1"/>
    <row r="731" s="7" customFormat="1" ht="13.5" customHeight="1"/>
    <row r="732" s="7" customFormat="1" ht="13.5" customHeight="1"/>
    <row r="733" s="7" customFormat="1" ht="13.5" customHeight="1"/>
    <row r="734" s="7" customFormat="1" ht="13.5" customHeight="1"/>
    <row r="735" s="7" customFormat="1" ht="13.5" customHeight="1"/>
    <row r="736" s="7" customFormat="1" ht="13.5" customHeight="1"/>
    <row r="737" s="7" customFormat="1" ht="13.5" customHeight="1"/>
    <row r="738" s="7" customFormat="1" ht="13.5" customHeight="1"/>
    <row r="739" s="7" customFormat="1" ht="13.5" customHeight="1"/>
    <row r="740" s="7" customFormat="1" ht="13.5" customHeight="1"/>
    <row r="741" s="7" customFormat="1" ht="13.5" customHeight="1"/>
    <row r="742" s="7" customFormat="1" ht="13.5" customHeight="1"/>
    <row r="743" s="7" customFormat="1" ht="13.5" customHeight="1"/>
    <row r="744" s="7" customFormat="1" ht="13.5" customHeight="1"/>
    <row r="745" s="7" customFormat="1" ht="13.5" customHeight="1"/>
    <row r="746" s="7" customFormat="1" ht="13.5" customHeight="1"/>
    <row r="747" s="7" customFormat="1" ht="13.5" customHeight="1"/>
    <row r="748" s="7" customFormat="1" ht="13.5" customHeight="1"/>
    <row r="749" s="7" customFormat="1" ht="13.5" customHeight="1"/>
    <row r="750" s="7" customFormat="1" ht="13.5" customHeight="1"/>
    <row r="751" s="7" customFormat="1" ht="13.5" customHeight="1"/>
    <row r="752" s="7" customFormat="1" ht="13.5" customHeight="1"/>
    <row r="753" s="7" customFormat="1" ht="13.5" customHeight="1"/>
    <row r="754" s="7" customFormat="1" ht="13.5" customHeight="1"/>
    <row r="755" s="7" customFormat="1" ht="13.5" customHeight="1"/>
    <row r="756" s="7" customFormat="1" ht="13.5" customHeight="1"/>
    <row r="757" s="7" customFormat="1" ht="13.5" customHeight="1"/>
    <row r="758" s="7" customFormat="1" ht="13.5" customHeight="1"/>
    <row r="759" s="7" customFormat="1" ht="13.5" customHeight="1"/>
    <row r="760" s="7" customFormat="1" ht="13.5" customHeight="1"/>
    <row r="761" s="7" customFormat="1" ht="13.5" customHeight="1"/>
    <row r="762" s="7" customFormat="1" ht="13.5" customHeight="1"/>
    <row r="763" s="7" customFormat="1" ht="13.5" customHeight="1"/>
    <row r="764" s="7" customFormat="1" ht="13.5" customHeight="1"/>
    <row r="765" s="7" customFormat="1" ht="13.5" customHeight="1"/>
    <row r="766" s="7" customFormat="1" ht="13.5" customHeight="1"/>
    <row r="767" s="7" customFormat="1" ht="13.5" customHeight="1"/>
    <row r="768" s="7" customFormat="1" ht="13.5" customHeight="1"/>
    <row r="769" s="7" customFormat="1" ht="13.5" customHeight="1"/>
    <row r="770" s="7" customFormat="1" ht="13.5" customHeight="1"/>
    <row r="771" s="7" customFormat="1" ht="13.5" customHeight="1"/>
    <row r="772" s="7" customFormat="1" ht="13.5" customHeight="1"/>
    <row r="773" s="7" customFormat="1" ht="13.5" customHeight="1"/>
    <row r="774" s="7" customFormat="1" ht="13.5" customHeight="1"/>
    <row r="775" s="7" customFormat="1" ht="13.5" customHeight="1"/>
    <row r="776" s="7" customFormat="1" ht="13.5" customHeight="1"/>
    <row r="777" s="7" customFormat="1" ht="13.5" customHeight="1"/>
    <row r="778" s="7" customFormat="1" ht="13.5" customHeight="1"/>
    <row r="779" s="7" customFormat="1" ht="13.5" customHeight="1"/>
    <row r="780" s="7" customFormat="1" ht="13.5" customHeight="1"/>
    <row r="781" s="7" customFormat="1" ht="13.5" customHeight="1"/>
    <row r="782" s="7" customFormat="1" ht="13.5" customHeight="1"/>
    <row r="783" s="7" customFormat="1" ht="13.5" customHeight="1"/>
    <row r="784" s="7" customFormat="1" ht="13.5" customHeight="1"/>
    <row r="785" s="7" customFormat="1" ht="13.5" customHeight="1"/>
    <row r="786" s="7" customFormat="1" ht="13.5" customHeight="1"/>
    <row r="787" s="7" customFormat="1" ht="13.5" customHeight="1"/>
    <row r="788" s="7" customFormat="1" ht="13.5" customHeight="1"/>
    <row r="789" s="7" customFormat="1" ht="13.5" customHeight="1"/>
    <row r="790" s="7" customFormat="1" ht="13.5" customHeight="1"/>
    <row r="791" s="7" customFormat="1" ht="13.5" customHeight="1"/>
    <row r="792" s="7" customFormat="1" ht="13.5" customHeight="1"/>
    <row r="793" s="7" customFormat="1" ht="13.5" customHeight="1"/>
    <row r="794" s="7" customFormat="1" ht="13.5" customHeight="1"/>
    <row r="795" s="7" customFormat="1" ht="13.5" customHeight="1"/>
    <row r="796" s="7" customFormat="1" ht="13.5" customHeight="1"/>
    <row r="797" s="7" customFormat="1" ht="13.5" customHeight="1"/>
    <row r="798" s="7" customFormat="1" ht="13.5" customHeight="1"/>
    <row r="799" s="7" customFormat="1" ht="13.5" customHeight="1"/>
    <row r="800" s="7" customFormat="1" ht="13.5" customHeight="1"/>
    <row r="801" s="7" customFormat="1" ht="13.5" customHeight="1"/>
    <row r="802" s="7" customFormat="1" ht="13.5" customHeight="1"/>
    <row r="803" s="7" customFormat="1" ht="13.5" customHeight="1"/>
    <row r="804" s="7" customFormat="1" ht="13.5" customHeight="1"/>
    <row r="805" s="7" customFormat="1" ht="13.5" customHeight="1"/>
    <row r="806" s="7" customFormat="1" ht="13.5" customHeight="1"/>
    <row r="807" s="7" customFormat="1" ht="13.5" customHeight="1"/>
    <row r="808" s="7" customFormat="1" ht="13.5" customHeight="1"/>
    <row r="809" s="7" customFormat="1" ht="13.5" customHeight="1"/>
    <row r="810" s="7" customFormat="1" ht="13.5" customHeight="1"/>
    <row r="811" s="7" customFormat="1" ht="13.5" customHeight="1"/>
    <row r="812" s="7" customFormat="1" ht="13.5" customHeight="1"/>
    <row r="813" s="7" customFormat="1" ht="13.5" customHeight="1"/>
    <row r="814" s="7" customFormat="1" ht="13.5" customHeight="1"/>
    <row r="815" s="7" customFormat="1" ht="13.5" customHeight="1"/>
    <row r="816" s="7" customFormat="1" ht="13.5" customHeight="1"/>
    <row r="817" s="7" customFormat="1" ht="13.5" customHeight="1"/>
    <row r="818" s="7" customFormat="1" ht="13.5" customHeight="1"/>
    <row r="819" s="7" customFormat="1" ht="13.5" customHeight="1"/>
    <row r="820" s="7" customFormat="1" ht="13.5" customHeight="1"/>
    <row r="821" s="7" customFormat="1" ht="13.5" customHeight="1"/>
    <row r="822" s="7" customFormat="1" ht="13.5" customHeight="1"/>
    <row r="823" s="7" customFormat="1" ht="13.5" customHeight="1"/>
    <row r="824" s="7" customFormat="1" ht="13.5" customHeight="1"/>
    <row r="825" s="7" customFormat="1" ht="13.5" customHeight="1"/>
    <row r="826" s="7" customFormat="1" ht="13.5" customHeight="1"/>
    <row r="827" s="7" customFormat="1" ht="13.5" customHeight="1"/>
    <row r="828" s="7" customFormat="1" ht="13.5" customHeight="1"/>
    <row r="829" s="7" customFormat="1" ht="13.5" customHeight="1"/>
    <row r="830" s="7" customFormat="1" ht="13.5" customHeight="1"/>
    <row r="831" s="7" customFormat="1" ht="13.5" customHeight="1"/>
    <row r="832" s="7" customFormat="1" ht="13.5" customHeight="1"/>
    <row r="833" s="7" customFormat="1" ht="13.5" customHeight="1"/>
    <row r="834" s="7" customFormat="1" ht="13.5" customHeight="1"/>
    <row r="835" s="7" customFormat="1" ht="13.5" customHeight="1"/>
    <row r="836" s="7" customFormat="1" ht="13.5" customHeight="1"/>
    <row r="837" s="7" customFormat="1" ht="13.5" customHeight="1"/>
    <row r="838" s="7" customFormat="1" ht="13.5" customHeight="1"/>
    <row r="839" s="7" customFormat="1" ht="13.5" customHeight="1"/>
    <row r="840" s="7" customFormat="1" ht="13.5" customHeight="1"/>
    <row r="841" s="7" customFormat="1" ht="13.5" customHeight="1"/>
    <row r="842" s="7" customFormat="1" ht="13.5" customHeight="1"/>
    <row r="843" s="7" customFormat="1" ht="13.5" customHeight="1"/>
    <row r="844" s="7" customFormat="1" ht="13.5" customHeight="1"/>
    <row r="845" s="7" customFormat="1" ht="13.5" customHeight="1"/>
    <row r="846" s="7" customFormat="1" ht="13.5" customHeight="1"/>
    <row r="847" s="7" customFormat="1" ht="13.5" customHeight="1"/>
    <row r="848" s="7" customFormat="1" ht="13.5" customHeight="1"/>
    <row r="849" s="7" customFormat="1" ht="13.5" customHeight="1"/>
    <row r="850" s="7" customFormat="1" ht="13.5" customHeight="1"/>
    <row r="851" s="7" customFormat="1" ht="13.5" customHeight="1"/>
    <row r="852" s="7" customFormat="1" ht="13.5" customHeight="1"/>
    <row r="853" s="7" customFormat="1" ht="13.5" customHeight="1"/>
    <row r="854" s="7" customFormat="1" ht="13.5" customHeight="1"/>
    <row r="855" s="7" customFormat="1" ht="13.5" customHeight="1"/>
    <row r="856" s="7" customFormat="1" ht="13.5" customHeight="1"/>
    <row r="857" s="7" customFormat="1" ht="13.5" customHeight="1"/>
    <row r="858" s="7" customFormat="1" ht="13.5" customHeight="1"/>
    <row r="859" s="7" customFormat="1" ht="13.5" customHeight="1"/>
    <row r="860" s="7" customFormat="1" ht="13.5" customHeight="1"/>
    <row r="861" s="7" customFormat="1" ht="13.5" customHeight="1"/>
    <row r="862" s="7" customFormat="1" ht="13.5" customHeight="1"/>
    <row r="863" s="7" customFormat="1" ht="13.5" customHeight="1"/>
    <row r="864" s="7" customFormat="1" ht="13.5" customHeight="1"/>
    <row r="865" s="7" customFormat="1" ht="13.5" customHeight="1"/>
    <row r="866" s="7" customFormat="1" ht="13.5" customHeight="1"/>
    <row r="867" s="7" customFormat="1" ht="13.5" customHeight="1"/>
    <row r="868" s="7" customFormat="1" ht="13.5" customHeight="1"/>
    <row r="869" s="7" customFormat="1" ht="13.5" customHeight="1"/>
    <row r="870" s="7" customFormat="1" ht="13.5" customHeight="1"/>
    <row r="871" s="7" customFormat="1" ht="13.5" customHeight="1"/>
    <row r="872" s="7" customFormat="1" ht="13.5" customHeight="1"/>
    <row r="873" s="7" customFormat="1" ht="13.5" customHeight="1"/>
    <row r="874" s="7" customFormat="1" ht="13.5" customHeight="1"/>
    <row r="875" s="7" customFormat="1" ht="13.5" customHeight="1"/>
    <row r="876" s="7" customFormat="1" ht="13.5" customHeight="1"/>
    <row r="877" s="7" customFormat="1" ht="13.5" customHeight="1"/>
    <row r="878" s="7" customFormat="1" ht="13.5" customHeight="1"/>
    <row r="879" s="7" customFormat="1" ht="13.5" customHeight="1"/>
    <row r="880" s="7" customFormat="1" ht="13.5" customHeight="1"/>
    <row r="881" s="7" customFormat="1" ht="13.5" customHeight="1"/>
    <row r="882" s="7" customFormat="1" ht="13.5" customHeight="1"/>
    <row r="883" s="7" customFormat="1" ht="13.5" customHeight="1"/>
    <row r="884" s="7" customFormat="1" ht="13.5" customHeight="1"/>
    <row r="885" s="7" customFormat="1" ht="13.5" customHeight="1"/>
    <row r="886" s="7" customFormat="1" ht="13.5" customHeight="1"/>
    <row r="887" s="7" customFormat="1" ht="13.5" customHeight="1"/>
    <row r="888" s="7" customFormat="1" ht="13.5" customHeight="1"/>
    <row r="889" s="7" customFormat="1" ht="13.5" customHeight="1"/>
    <row r="890" s="7" customFormat="1" ht="13.5" customHeight="1"/>
    <row r="891" s="7" customFormat="1" ht="13.5" customHeight="1"/>
    <row r="892" s="7" customFormat="1" ht="13.5" customHeight="1"/>
    <row r="893" s="7" customFormat="1" ht="13.5" customHeight="1"/>
    <row r="894" s="7" customFormat="1" ht="13.5" customHeight="1"/>
    <row r="895" s="7" customFormat="1" ht="13.5" customHeight="1"/>
    <row r="896" s="7" customFormat="1" ht="13.5" customHeight="1"/>
    <row r="897" s="7" customFormat="1" ht="13.5" customHeight="1"/>
    <row r="898" s="7" customFormat="1" ht="13.5" customHeight="1"/>
    <row r="899" s="7" customFormat="1" ht="13.5" customHeight="1"/>
    <row r="900" s="7" customFormat="1" ht="13.5" customHeight="1"/>
    <row r="901" s="7" customFormat="1" ht="13.5" customHeight="1"/>
    <row r="902" s="7" customFormat="1" ht="13.5" customHeight="1"/>
    <row r="903" s="7" customFormat="1" ht="13.5" customHeight="1"/>
    <row r="904" s="7" customFormat="1" ht="13.5" customHeight="1"/>
    <row r="905" s="7" customFormat="1" ht="13.5" customHeight="1"/>
    <row r="906" s="7" customFormat="1" ht="13.5" customHeight="1"/>
    <row r="907" s="7" customFormat="1" ht="13.5" customHeight="1"/>
    <row r="908" s="7" customFormat="1" ht="13.5" customHeight="1"/>
    <row r="909" s="7" customFormat="1" ht="13.5" customHeight="1"/>
    <row r="910" s="7" customFormat="1" ht="13.5" customHeight="1"/>
    <row r="911" s="7" customFormat="1" ht="13.5" customHeight="1"/>
    <row r="912" s="7" customFormat="1" ht="13.5" customHeight="1"/>
    <row r="913" s="7" customFormat="1" ht="13.5" customHeight="1"/>
    <row r="914" s="7" customFormat="1" ht="13.5" customHeight="1"/>
    <row r="915" s="7" customFormat="1" ht="13.5" customHeight="1"/>
    <row r="916" s="7" customFormat="1" ht="13.5" customHeight="1"/>
    <row r="917" s="7" customFormat="1" ht="13.5" customHeight="1"/>
    <row r="918" s="7" customFormat="1" ht="13.5" customHeight="1"/>
    <row r="919" s="7" customFormat="1" ht="13.5" customHeight="1"/>
    <row r="920" s="7" customFormat="1" ht="13.5" customHeight="1"/>
    <row r="921" s="7" customFormat="1" ht="13.5" customHeight="1"/>
    <row r="922" s="7" customFormat="1" ht="13.5" customHeight="1"/>
    <row r="923" s="7" customFormat="1" ht="13.5" customHeight="1"/>
    <row r="924" s="7" customFormat="1" ht="13.5" customHeight="1"/>
    <row r="925" s="7" customFormat="1" ht="13.5" customHeight="1"/>
    <row r="926" s="7" customFormat="1" ht="13.5" customHeight="1"/>
    <row r="927" s="7" customFormat="1" ht="13.5" customHeight="1"/>
    <row r="928" s="7" customFormat="1" ht="13.5" customHeight="1"/>
    <row r="929" s="7" customFormat="1" ht="13.5" customHeight="1"/>
    <row r="930" s="7" customFormat="1" ht="13.5" customHeight="1"/>
    <row r="931" s="7" customFormat="1" ht="13.5" customHeight="1"/>
    <row r="932" s="7" customFormat="1" ht="13.5" customHeight="1"/>
    <row r="933" s="7" customFormat="1" ht="13.5" customHeight="1"/>
    <row r="934" s="7" customFormat="1" ht="13.5" customHeight="1"/>
    <row r="935" s="7" customFormat="1" ht="13.5" customHeight="1"/>
    <row r="936" s="7" customFormat="1" ht="13.5" customHeight="1"/>
    <row r="937" s="7" customFormat="1" ht="13.5" customHeight="1"/>
    <row r="938" s="7" customFormat="1" ht="13.5" customHeight="1"/>
    <row r="939" s="7" customFormat="1" ht="13.5" customHeight="1"/>
    <row r="940" s="7" customFormat="1" ht="13.5" customHeight="1"/>
    <row r="941" s="7" customFormat="1" ht="13.5" customHeight="1"/>
    <row r="942" s="7" customFormat="1" ht="13.5" customHeight="1"/>
    <row r="943" s="7" customFormat="1" ht="13.5" customHeight="1"/>
    <row r="944" s="7" customFormat="1" ht="13.5" customHeight="1"/>
    <row r="945" s="7" customFormat="1" ht="13.5" customHeight="1"/>
    <row r="946" s="7" customFormat="1" ht="13.5" customHeight="1"/>
    <row r="947" s="7" customFormat="1" ht="13.5" customHeight="1"/>
    <row r="948" s="7" customFormat="1" ht="13.5" customHeight="1"/>
    <row r="949" s="7" customFormat="1" ht="13.5" customHeight="1"/>
    <row r="950" s="7" customFormat="1" ht="13.5" customHeight="1"/>
    <row r="951" s="7" customFormat="1" ht="13.5" customHeight="1"/>
    <row r="952" s="7" customFormat="1" ht="13.5" customHeight="1"/>
    <row r="953" s="7" customFormat="1" ht="13.5" customHeight="1"/>
    <row r="954" s="7" customFormat="1" ht="13.5" customHeight="1"/>
    <row r="955" s="7" customFormat="1" ht="13.5" customHeight="1"/>
    <row r="956" s="7" customFormat="1" ht="13.5" customHeight="1"/>
    <row r="957" s="7" customFormat="1" ht="13.5" customHeight="1"/>
    <row r="958" s="7" customFormat="1" ht="13.5" customHeight="1"/>
    <row r="959" s="7" customFormat="1" ht="13.5" customHeight="1"/>
    <row r="960" s="7" customFormat="1" ht="13.5" customHeight="1"/>
    <row r="961" s="7" customFormat="1" ht="13.5" customHeight="1"/>
    <row r="962" s="7" customFormat="1" ht="13.5" customHeight="1"/>
    <row r="963" s="7" customFormat="1" ht="13.5" customHeight="1"/>
    <row r="964" s="7" customFormat="1" ht="13.5" customHeight="1"/>
    <row r="965" s="7" customFormat="1" ht="13.5" customHeight="1"/>
    <row r="966" s="7" customFormat="1" ht="13.5" customHeight="1"/>
    <row r="967" s="7" customFormat="1" ht="13.5" customHeight="1"/>
    <row r="968" s="7" customFormat="1" ht="13.5" customHeight="1"/>
    <row r="969" s="7" customFormat="1" ht="13.5" customHeight="1"/>
    <row r="970" s="7" customFormat="1" ht="13.5" customHeight="1"/>
    <row r="971" s="7" customFormat="1" ht="13.5" customHeight="1"/>
    <row r="972" s="7" customFormat="1" ht="13.5" customHeight="1"/>
    <row r="973" s="7" customFormat="1" ht="13.5" customHeight="1"/>
    <row r="974" s="7" customFormat="1" ht="13.5" customHeight="1"/>
    <row r="975" s="7" customFormat="1" ht="13.5" customHeight="1"/>
    <row r="976" s="7" customFormat="1" ht="13.5" customHeight="1"/>
    <row r="977" s="7" customFormat="1" ht="13.5" customHeight="1"/>
    <row r="978" s="7" customFormat="1" ht="13.5" customHeight="1"/>
    <row r="979" s="7" customFormat="1" ht="13.5" customHeight="1"/>
    <row r="980" s="7" customFormat="1" ht="13.5" customHeight="1"/>
    <row r="981" s="7" customFormat="1" ht="13.5" customHeight="1"/>
    <row r="982" s="7" customFormat="1" ht="13.5" customHeight="1"/>
    <row r="983" s="7" customFormat="1" ht="13.5" customHeight="1"/>
    <row r="984" s="7" customFormat="1" ht="13.5" customHeight="1"/>
    <row r="985" s="7" customFormat="1" ht="13.5" customHeight="1"/>
    <row r="986" s="7" customFormat="1" ht="13.5" customHeight="1"/>
    <row r="987" s="7" customFormat="1" ht="13.5" customHeight="1"/>
    <row r="988" s="7" customFormat="1" ht="13.5" customHeight="1"/>
    <row r="989" s="7" customFormat="1" ht="13.5" customHeight="1"/>
    <row r="990" s="7" customFormat="1" ht="13.5" customHeight="1"/>
    <row r="991" s="7" customFormat="1" ht="13.5" customHeight="1"/>
    <row r="992" s="7" customFormat="1" ht="13.5" customHeight="1"/>
    <row r="993" s="7" customFormat="1" ht="13.5" customHeight="1"/>
    <row r="994" s="7" customFormat="1" ht="13.5" customHeight="1"/>
    <row r="995" s="7" customFormat="1" ht="13.5" customHeight="1"/>
    <row r="996" s="7" customFormat="1" ht="13.5" customHeight="1"/>
    <row r="997" s="7" customFormat="1" ht="13.5" customHeight="1"/>
    <row r="998" s="7" customFormat="1" ht="13.5" customHeight="1"/>
    <row r="999" s="7" customFormat="1" ht="13.5" customHeight="1"/>
    <row r="1000" s="7" customFormat="1" ht="13.5" customHeight="1"/>
  </sheetData>
  <mergeCells count="4">
    <mergeCell ref="A3:A4"/>
    <mergeCell ref="B3:D3"/>
    <mergeCell ref="E3:E4"/>
    <mergeCell ref="F3:H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showGridLines="0" workbookViewId="0">
      <selection activeCell="A23" sqref="A23"/>
    </sheetView>
  </sheetViews>
  <sheetFormatPr defaultColWidth="12.6640625" defaultRowHeight="15" customHeight="1"/>
  <cols>
    <col min="1" max="1" width="21.9140625" style="7" customWidth="1"/>
    <col min="2" max="2" width="15.4140625" style="7" customWidth="1"/>
    <col min="3" max="3" width="19.25" style="7" customWidth="1"/>
    <col min="4" max="4" width="18.75" style="7" customWidth="1"/>
    <col min="5" max="26" width="8.6640625" style="7" customWidth="1"/>
    <col min="27" max="16384" width="12.6640625" style="7"/>
  </cols>
  <sheetData>
    <row r="1" spans="1:26" s="373" customFormat="1" ht="13.5" customHeight="1">
      <c r="A1" s="453" t="s">
        <v>319</v>
      </c>
      <c r="B1" s="453"/>
      <c r="C1" s="453"/>
      <c r="D1" s="453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 spans="1:26" ht="13.5" customHeight="1">
      <c r="A2" s="5"/>
      <c r="B2" s="5"/>
      <c r="C2" s="5"/>
      <c r="D2" s="5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ht="49.5" customHeight="1">
      <c r="A3" s="98"/>
      <c r="B3" s="99" t="s">
        <v>470</v>
      </c>
      <c r="C3" s="100" t="s">
        <v>320</v>
      </c>
      <c r="D3" s="101" t="s">
        <v>321</v>
      </c>
      <c r="E3" s="102"/>
      <c r="F3" s="102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spans="1:26" ht="13.5" customHeight="1">
      <c r="A4" s="104"/>
      <c r="B4" s="105" t="s">
        <v>1</v>
      </c>
      <c r="C4" s="105" t="s">
        <v>1</v>
      </c>
      <c r="D4" s="106" t="s">
        <v>322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</row>
    <row r="5" spans="1:26" ht="13.5" customHeight="1">
      <c r="A5" s="107" t="s">
        <v>2</v>
      </c>
      <c r="B5" s="108">
        <v>78104.86</v>
      </c>
      <c r="C5" s="108">
        <v>1006194.14</v>
      </c>
      <c r="D5" s="108">
        <v>7.8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</row>
    <row r="6" spans="1:26" ht="13.5" customHeight="1">
      <c r="A6" s="107" t="s">
        <v>3</v>
      </c>
      <c r="B6" s="108">
        <v>107226.48</v>
      </c>
      <c r="C6" s="108">
        <v>1080501.25</v>
      </c>
      <c r="D6" s="108">
        <v>9.9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</row>
    <row r="7" spans="1:26" ht="13.5" customHeight="1">
      <c r="A7" s="107" t="s">
        <v>4</v>
      </c>
      <c r="B7" s="108">
        <v>234702.61</v>
      </c>
      <c r="C7" s="108">
        <v>1080501.1399999999</v>
      </c>
      <c r="D7" s="108">
        <v>21.72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</row>
    <row r="8" spans="1:26" ht="13.5" customHeight="1">
      <c r="A8" s="109" t="s">
        <v>5</v>
      </c>
      <c r="B8" s="108">
        <v>368478.26</v>
      </c>
      <c r="C8" s="108">
        <v>1171456.9099999999</v>
      </c>
      <c r="D8" s="108">
        <v>31.45</v>
      </c>
    </row>
    <row r="9" spans="1:26" ht="13.5" customHeight="1">
      <c r="A9" s="109" t="s">
        <v>6</v>
      </c>
      <c r="B9" s="108">
        <v>223440</v>
      </c>
      <c r="C9" s="108">
        <v>1169967.1499999999</v>
      </c>
      <c r="D9" s="108">
        <v>19.100000000000001</v>
      </c>
    </row>
    <row r="10" spans="1:26" ht="13.5" customHeight="1">
      <c r="A10" s="109" t="s">
        <v>7</v>
      </c>
      <c r="B10" s="108">
        <v>234590.32</v>
      </c>
      <c r="C10" s="108">
        <v>1225916.1399999999</v>
      </c>
      <c r="D10" s="108">
        <v>19.14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</row>
    <row r="11" spans="1:26" ht="13.5" customHeight="1">
      <c r="A11" s="109" t="s">
        <v>8</v>
      </c>
      <c r="B11" s="108">
        <v>305666</v>
      </c>
      <c r="C11" s="108">
        <v>1576794.59</v>
      </c>
      <c r="D11" s="108">
        <v>19.39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</row>
    <row r="12" spans="1:26" ht="13.5" customHeight="1">
      <c r="A12" s="110" t="s">
        <v>9</v>
      </c>
      <c r="B12" s="111">
        <v>405005</v>
      </c>
      <c r="C12" s="111">
        <v>2152546.41</v>
      </c>
      <c r="D12" s="111">
        <v>18.815157625335473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</row>
    <row r="13" spans="1:26" ht="13.5" customHeight="1">
      <c r="A13" s="110" t="s">
        <v>10</v>
      </c>
      <c r="B13" s="111">
        <v>773406</v>
      </c>
      <c r="C13" s="111">
        <v>2512618.5268056775</v>
      </c>
      <c r="D13" s="111">
        <v>30.780876275048424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</row>
    <row r="14" spans="1:26" ht="13.5" customHeight="1">
      <c r="A14" s="110" t="s">
        <v>11</v>
      </c>
      <c r="B14" s="111">
        <v>579042</v>
      </c>
      <c r="C14" s="111">
        <v>2735946.134015752</v>
      </c>
      <c r="D14" s="111">
        <v>21.164232467914012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</row>
    <row r="15" spans="1:26" ht="13.5" customHeight="1">
      <c r="A15" s="112" t="s">
        <v>12</v>
      </c>
      <c r="B15" s="113">
        <v>860459.80543800001</v>
      </c>
      <c r="C15" s="113">
        <v>2770937.7736889916</v>
      </c>
      <c r="D15" s="113">
        <v>31.053017992982817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</row>
    <row r="16" spans="1:26" s="379" customFormat="1" ht="13.5" customHeight="1">
      <c r="A16" s="438" t="s">
        <v>505</v>
      </c>
      <c r="B16" s="29"/>
      <c r="C16" s="29"/>
      <c r="D16" s="2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6" s="379" customFormat="1" ht="13.5" customHeight="1">
      <c r="A17" s="438" t="s">
        <v>506</v>
      </c>
      <c r="B17" s="29"/>
      <c r="C17" s="29"/>
      <c r="D17" s="114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6" ht="13.5" customHeight="1">
      <c r="A18" s="81"/>
      <c r="B18" s="29"/>
      <c r="C18" s="29"/>
      <c r="D18" s="114"/>
      <c r="E18" s="6"/>
      <c r="F18" s="6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3.5" customHeight="1">
      <c r="A19" s="81"/>
      <c r="B19" s="29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13.5" customHeight="1">
      <c r="A20" s="81"/>
      <c r="B20" s="29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3.5" customHeight="1">
      <c r="A21" s="81"/>
      <c r="B21" s="29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13.5" customHeight="1">
      <c r="A22" s="81"/>
      <c r="B22" s="29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3.5" customHeight="1">
      <c r="A23" s="81"/>
      <c r="B23" s="29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13.5" customHeight="1">
      <c r="A24" s="81"/>
      <c r="B24" s="29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3.5" customHeight="1">
      <c r="A25" s="81"/>
      <c r="B25" s="29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3.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3.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3.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3.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13.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3.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13.5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3.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3.5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3.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3.5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13.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13.5" customHeight="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13.5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3.5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13.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13.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3.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13.5" customHeight="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13.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13.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13.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13.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13.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3.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3.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3.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ht="13.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13.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13.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13.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13.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13.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13.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ht="13.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13.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3.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3.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13.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13.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13.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13.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ht="13.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13.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13.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13.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13.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13.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13.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ht="13.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13.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13.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13.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13.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ht="13.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13.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13.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13.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ht="13.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13.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13.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3.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3.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13.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13.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13.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13.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13.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13.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13.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13.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13.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 ht="13.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13.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13.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13.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13.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13.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13.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ht="13.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13.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13.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13.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13.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13.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13.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ht="13.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3.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3.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3.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13.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13.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ht="13.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13.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13.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13.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13.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13.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13.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ht="13.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13.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ht="13.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13.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13.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13.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13.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13.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13.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ht="13.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ht="13.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spans="1:26" ht="13.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ht="13.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ht="13.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ht="13.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ht="13.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ht="13.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ht="13.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ht="13.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spans="1:26" ht="13.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ht="13.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ht="13.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ht="13.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ht="13.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ht="13.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ht="13.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spans="1:26" ht="13.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ht="13.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ht="13.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ht="13.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ht="13.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ht="13.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ht="13.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ht="13.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1:26" ht="13.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ht="13.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ht="13.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ht="13.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ht="13.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ht="13.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ht="13.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ht="13.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ht="13.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ht="13.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1:26" ht="13.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1:26" ht="13.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1:26" ht="13.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1:26" ht="13.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1:26" ht="13.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1:26" ht="13.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1:26" ht="13.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1:26" ht="13.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1:26" ht="13.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1:26" ht="13.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1:26" ht="13.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1:26" ht="13.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1:26" ht="13.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1:26" ht="13.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1:26" ht="13.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1:26" ht="13.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1:26" ht="13.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ht="13.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1:26" ht="13.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1:26" ht="13.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1:26" ht="13.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ht="13.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1:26" ht="13.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ht="13.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ht="13.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1:26" ht="13.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1:26" ht="13.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1:26" ht="13.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1:26" ht="13.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1:26" ht="13.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1:26" ht="13.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1:26" ht="13.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1:26" ht="13.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6" ht="13.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1:26" ht="13.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1:26" ht="13.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1:26" ht="13.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1:26" ht="13.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1:26" ht="13.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1:26" ht="13.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1:26" ht="13.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1:26" ht="13.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1:26" ht="13.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1:26" ht="13.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6" ht="13.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1:26" ht="13.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1:26" ht="13.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1:26" ht="13.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1:26" ht="13.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1:26" ht="13.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1:26" ht="13.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1:26" ht="13.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6" ht="13.5" customHeight="1"/>
    <row r="222" spans="1:26" ht="13.5" customHeight="1"/>
    <row r="223" spans="1:26" ht="13.5" customHeight="1"/>
    <row r="224" spans="1:26" ht="13.5" customHeight="1"/>
    <row r="225" s="7" customFormat="1" ht="13.5" customHeight="1"/>
    <row r="226" s="7" customFormat="1" ht="13.5" customHeight="1"/>
    <row r="227" s="7" customFormat="1" ht="13.5" customHeight="1"/>
    <row r="228" s="7" customFormat="1" ht="13.5" customHeight="1"/>
    <row r="229" s="7" customFormat="1" ht="13.5" customHeight="1"/>
    <row r="230" s="7" customFormat="1" ht="13.5" customHeight="1"/>
    <row r="231" s="7" customFormat="1" ht="13.5" customHeight="1"/>
    <row r="232" s="7" customFormat="1" ht="13.5" customHeight="1"/>
    <row r="233" s="7" customFormat="1" ht="13.5" customHeight="1"/>
    <row r="234" s="7" customFormat="1" ht="13.5" customHeight="1"/>
    <row r="235" s="7" customFormat="1" ht="13.5" customHeight="1"/>
    <row r="236" s="7" customFormat="1" ht="13.5" customHeight="1"/>
    <row r="237" s="7" customFormat="1" ht="13.5" customHeight="1"/>
    <row r="238" s="7" customFormat="1" ht="13.5" customHeight="1"/>
    <row r="239" s="7" customFormat="1" ht="13.5" customHeight="1"/>
    <row r="240" s="7" customFormat="1" ht="13.5" customHeight="1"/>
    <row r="241" s="7" customFormat="1" ht="13.5" customHeight="1"/>
    <row r="242" s="7" customFormat="1" ht="13.5" customHeight="1"/>
    <row r="243" s="7" customFormat="1" ht="13.5" customHeight="1"/>
    <row r="244" s="7" customFormat="1" ht="13.5" customHeight="1"/>
    <row r="245" s="7" customFormat="1" ht="13.5" customHeight="1"/>
    <row r="246" s="7" customFormat="1" ht="13.5" customHeight="1"/>
    <row r="247" s="7" customFormat="1" ht="13.5" customHeight="1"/>
    <row r="248" s="7" customFormat="1" ht="13.5" customHeight="1"/>
    <row r="249" s="7" customFormat="1" ht="13.5" customHeight="1"/>
    <row r="250" s="7" customFormat="1" ht="13.5" customHeight="1"/>
    <row r="251" s="7" customFormat="1" ht="13.5" customHeight="1"/>
    <row r="252" s="7" customFormat="1" ht="13.5" customHeight="1"/>
    <row r="253" s="7" customFormat="1" ht="13.5" customHeight="1"/>
    <row r="254" s="7" customFormat="1" ht="13.5" customHeight="1"/>
    <row r="255" s="7" customFormat="1" ht="13.5" customHeight="1"/>
    <row r="256" s="7" customFormat="1" ht="13.5" customHeight="1"/>
    <row r="257" s="7" customFormat="1" ht="13.5" customHeight="1"/>
    <row r="258" s="7" customFormat="1" ht="13.5" customHeight="1"/>
    <row r="259" s="7" customFormat="1" ht="13.5" customHeight="1"/>
    <row r="260" s="7" customFormat="1" ht="13.5" customHeight="1"/>
    <row r="261" s="7" customFormat="1" ht="13.5" customHeight="1"/>
    <row r="262" s="7" customFormat="1" ht="13.5" customHeight="1"/>
    <row r="263" s="7" customFormat="1" ht="13.5" customHeight="1"/>
    <row r="264" s="7" customFormat="1" ht="13.5" customHeight="1"/>
    <row r="265" s="7" customFormat="1" ht="13.5" customHeight="1"/>
    <row r="266" s="7" customFormat="1" ht="13.5" customHeight="1"/>
    <row r="267" s="7" customFormat="1" ht="13.5" customHeight="1"/>
    <row r="268" s="7" customFormat="1" ht="13.5" customHeight="1"/>
    <row r="269" s="7" customFormat="1" ht="13.5" customHeight="1"/>
    <row r="270" s="7" customFormat="1" ht="13.5" customHeight="1"/>
    <row r="271" s="7" customFormat="1" ht="13.5" customHeight="1"/>
    <row r="272" s="7" customFormat="1" ht="13.5" customHeight="1"/>
    <row r="273" s="7" customFormat="1" ht="13.5" customHeight="1"/>
    <row r="274" s="7" customFormat="1" ht="13.5" customHeight="1"/>
    <row r="275" s="7" customFormat="1" ht="13.5" customHeight="1"/>
    <row r="276" s="7" customFormat="1" ht="13.5" customHeight="1"/>
    <row r="277" s="7" customFormat="1" ht="13.5" customHeight="1"/>
    <row r="278" s="7" customFormat="1" ht="13.5" customHeight="1"/>
    <row r="279" s="7" customFormat="1" ht="13.5" customHeight="1"/>
    <row r="280" s="7" customFormat="1" ht="13.5" customHeight="1"/>
    <row r="281" s="7" customFormat="1" ht="13.5" customHeight="1"/>
    <row r="282" s="7" customFormat="1" ht="13.5" customHeight="1"/>
    <row r="283" s="7" customFormat="1" ht="13.5" customHeight="1"/>
    <row r="284" s="7" customFormat="1" ht="13.5" customHeight="1"/>
    <row r="285" s="7" customFormat="1" ht="13.5" customHeight="1"/>
    <row r="286" s="7" customFormat="1" ht="13.5" customHeight="1"/>
    <row r="287" s="7" customFormat="1" ht="13.5" customHeight="1"/>
    <row r="288" s="7" customFormat="1" ht="13.5" customHeight="1"/>
    <row r="289" s="7" customFormat="1" ht="13.5" customHeight="1"/>
    <row r="290" s="7" customFormat="1" ht="13.5" customHeight="1"/>
    <row r="291" s="7" customFormat="1" ht="13.5" customHeight="1"/>
    <row r="292" s="7" customFormat="1" ht="13.5" customHeight="1"/>
    <row r="293" s="7" customFormat="1" ht="13.5" customHeight="1"/>
    <row r="294" s="7" customFormat="1" ht="13.5" customHeight="1"/>
    <row r="295" s="7" customFormat="1" ht="13.5" customHeight="1"/>
    <row r="296" s="7" customFormat="1" ht="13.5" customHeight="1"/>
    <row r="297" s="7" customFormat="1" ht="13.5" customHeight="1"/>
    <row r="298" s="7" customFormat="1" ht="13.5" customHeight="1"/>
    <row r="299" s="7" customFormat="1" ht="13.5" customHeight="1"/>
    <row r="300" s="7" customFormat="1" ht="13.5" customHeight="1"/>
    <row r="301" s="7" customFormat="1" ht="13.5" customHeight="1"/>
    <row r="302" s="7" customFormat="1" ht="13.5" customHeight="1"/>
    <row r="303" s="7" customFormat="1" ht="13.5" customHeight="1"/>
    <row r="304" s="7" customFormat="1" ht="13.5" customHeight="1"/>
    <row r="305" s="7" customFormat="1" ht="13.5" customHeight="1"/>
    <row r="306" s="7" customFormat="1" ht="13.5" customHeight="1"/>
    <row r="307" s="7" customFormat="1" ht="13.5" customHeight="1"/>
    <row r="308" s="7" customFormat="1" ht="13.5" customHeight="1"/>
    <row r="309" s="7" customFormat="1" ht="13.5" customHeight="1"/>
    <row r="310" s="7" customFormat="1" ht="13.5" customHeight="1"/>
    <row r="311" s="7" customFormat="1" ht="13.5" customHeight="1"/>
    <row r="312" s="7" customFormat="1" ht="13.5" customHeight="1"/>
    <row r="313" s="7" customFormat="1" ht="13.5" customHeight="1"/>
    <row r="314" s="7" customFormat="1" ht="13.5" customHeight="1"/>
    <row r="315" s="7" customFormat="1" ht="13.5" customHeight="1"/>
    <row r="316" s="7" customFormat="1" ht="13.5" customHeight="1"/>
    <row r="317" s="7" customFormat="1" ht="13.5" customHeight="1"/>
    <row r="318" s="7" customFormat="1" ht="13.5" customHeight="1"/>
    <row r="319" s="7" customFormat="1" ht="13.5" customHeight="1"/>
    <row r="320" s="7" customFormat="1" ht="13.5" customHeight="1"/>
    <row r="321" s="7" customFormat="1" ht="13.5" customHeight="1"/>
    <row r="322" s="7" customFormat="1" ht="13.5" customHeight="1"/>
    <row r="323" s="7" customFormat="1" ht="13.5" customHeight="1"/>
    <row r="324" s="7" customFormat="1" ht="13.5" customHeight="1"/>
    <row r="325" s="7" customFormat="1" ht="13.5" customHeight="1"/>
    <row r="326" s="7" customFormat="1" ht="13.5" customHeight="1"/>
    <row r="327" s="7" customFormat="1" ht="13.5" customHeight="1"/>
    <row r="328" s="7" customFormat="1" ht="13.5" customHeight="1"/>
    <row r="329" s="7" customFormat="1" ht="13.5" customHeight="1"/>
    <row r="330" s="7" customFormat="1" ht="13.5" customHeight="1"/>
    <row r="331" s="7" customFormat="1" ht="13.5" customHeight="1"/>
    <row r="332" s="7" customFormat="1" ht="13.5" customHeight="1"/>
    <row r="333" s="7" customFormat="1" ht="13.5" customHeight="1"/>
    <row r="334" s="7" customFormat="1" ht="13.5" customHeight="1"/>
    <row r="335" s="7" customFormat="1" ht="13.5" customHeight="1"/>
    <row r="336" s="7" customFormat="1" ht="13.5" customHeight="1"/>
    <row r="337" s="7" customFormat="1" ht="13.5" customHeight="1"/>
    <row r="338" s="7" customFormat="1" ht="13.5" customHeight="1"/>
    <row r="339" s="7" customFormat="1" ht="13.5" customHeight="1"/>
    <row r="340" s="7" customFormat="1" ht="13.5" customHeight="1"/>
    <row r="341" s="7" customFormat="1" ht="13.5" customHeight="1"/>
    <row r="342" s="7" customFormat="1" ht="13.5" customHeight="1"/>
    <row r="343" s="7" customFormat="1" ht="13.5" customHeight="1"/>
    <row r="344" s="7" customFormat="1" ht="13.5" customHeight="1"/>
    <row r="345" s="7" customFormat="1" ht="13.5" customHeight="1"/>
    <row r="346" s="7" customFormat="1" ht="13.5" customHeight="1"/>
    <row r="347" s="7" customFormat="1" ht="13.5" customHeight="1"/>
    <row r="348" s="7" customFormat="1" ht="13.5" customHeight="1"/>
    <row r="349" s="7" customFormat="1" ht="13.5" customHeight="1"/>
    <row r="350" s="7" customFormat="1" ht="13.5" customHeight="1"/>
    <row r="351" s="7" customFormat="1" ht="13.5" customHeight="1"/>
    <row r="352" s="7" customFormat="1" ht="13.5" customHeight="1"/>
    <row r="353" s="7" customFormat="1" ht="13.5" customHeight="1"/>
    <row r="354" s="7" customFormat="1" ht="13.5" customHeight="1"/>
    <row r="355" s="7" customFormat="1" ht="13.5" customHeight="1"/>
    <row r="356" s="7" customFormat="1" ht="13.5" customHeight="1"/>
    <row r="357" s="7" customFormat="1" ht="13.5" customHeight="1"/>
    <row r="358" s="7" customFormat="1" ht="13.5" customHeight="1"/>
    <row r="359" s="7" customFormat="1" ht="13.5" customHeight="1"/>
    <row r="360" s="7" customFormat="1" ht="13.5" customHeight="1"/>
    <row r="361" s="7" customFormat="1" ht="13.5" customHeight="1"/>
    <row r="362" s="7" customFormat="1" ht="13.5" customHeight="1"/>
    <row r="363" s="7" customFormat="1" ht="13.5" customHeight="1"/>
    <row r="364" s="7" customFormat="1" ht="13.5" customHeight="1"/>
    <row r="365" s="7" customFormat="1" ht="13.5" customHeight="1"/>
    <row r="366" s="7" customFormat="1" ht="13.5" customHeight="1"/>
    <row r="367" s="7" customFormat="1" ht="13.5" customHeight="1"/>
    <row r="368" s="7" customFormat="1" ht="13.5" customHeight="1"/>
    <row r="369" s="7" customFormat="1" ht="13.5" customHeight="1"/>
    <row r="370" s="7" customFormat="1" ht="13.5" customHeight="1"/>
    <row r="371" s="7" customFormat="1" ht="13.5" customHeight="1"/>
    <row r="372" s="7" customFormat="1" ht="13.5" customHeight="1"/>
    <row r="373" s="7" customFormat="1" ht="13.5" customHeight="1"/>
    <row r="374" s="7" customFormat="1" ht="13.5" customHeight="1"/>
    <row r="375" s="7" customFormat="1" ht="13.5" customHeight="1"/>
    <row r="376" s="7" customFormat="1" ht="13.5" customHeight="1"/>
    <row r="377" s="7" customFormat="1" ht="13.5" customHeight="1"/>
    <row r="378" s="7" customFormat="1" ht="13.5" customHeight="1"/>
    <row r="379" s="7" customFormat="1" ht="13.5" customHeight="1"/>
    <row r="380" s="7" customFormat="1" ht="13.5" customHeight="1"/>
    <row r="381" s="7" customFormat="1" ht="13.5" customHeight="1"/>
    <row r="382" s="7" customFormat="1" ht="13.5" customHeight="1"/>
    <row r="383" s="7" customFormat="1" ht="13.5" customHeight="1"/>
    <row r="384" s="7" customFormat="1" ht="13.5" customHeight="1"/>
    <row r="385" s="7" customFormat="1" ht="13.5" customHeight="1"/>
    <row r="386" s="7" customFormat="1" ht="13.5" customHeight="1"/>
    <row r="387" s="7" customFormat="1" ht="13.5" customHeight="1"/>
    <row r="388" s="7" customFormat="1" ht="13.5" customHeight="1"/>
    <row r="389" s="7" customFormat="1" ht="13.5" customHeight="1"/>
    <row r="390" s="7" customFormat="1" ht="13.5" customHeight="1"/>
    <row r="391" s="7" customFormat="1" ht="13.5" customHeight="1"/>
    <row r="392" s="7" customFormat="1" ht="13.5" customHeight="1"/>
    <row r="393" s="7" customFormat="1" ht="13.5" customHeight="1"/>
    <row r="394" s="7" customFormat="1" ht="13.5" customHeight="1"/>
    <row r="395" s="7" customFormat="1" ht="13.5" customHeight="1"/>
    <row r="396" s="7" customFormat="1" ht="13.5" customHeight="1"/>
    <row r="397" s="7" customFormat="1" ht="13.5" customHeight="1"/>
    <row r="398" s="7" customFormat="1" ht="13.5" customHeight="1"/>
    <row r="399" s="7" customFormat="1" ht="13.5" customHeight="1"/>
    <row r="400" s="7" customFormat="1" ht="13.5" customHeight="1"/>
    <row r="401" s="7" customFormat="1" ht="13.5" customHeight="1"/>
    <row r="402" s="7" customFormat="1" ht="13.5" customHeight="1"/>
    <row r="403" s="7" customFormat="1" ht="13.5" customHeight="1"/>
    <row r="404" s="7" customFormat="1" ht="13.5" customHeight="1"/>
    <row r="405" s="7" customFormat="1" ht="13.5" customHeight="1"/>
    <row r="406" s="7" customFormat="1" ht="13.5" customHeight="1"/>
    <row r="407" s="7" customFormat="1" ht="13.5" customHeight="1"/>
    <row r="408" s="7" customFormat="1" ht="13.5" customHeight="1"/>
    <row r="409" s="7" customFormat="1" ht="13.5" customHeight="1"/>
    <row r="410" s="7" customFormat="1" ht="13.5" customHeight="1"/>
    <row r="411" s="7" customFormat="1" ht="13.5" customHeight="1"/>
    <row r="412" s="7" customFormat="1" ht="13.5" customHeight="1"/>
    <row r="413" s="7" customFormat="1" ht="13.5" customHeight="1"/>
    <row r="414" s="7" customFormat="1" ht="13.5" customHeight="1"/>
    <row r="415" s="7" customFormat="1" ht="13.5" customHeight="1"/>
    <row r="416" s="7" customFormat="1" ht="13.5" customHeight="1"/>
    <row r="417" s="7" customFormat="1" ht="13.5" customHeight="1"/>
    <row r="418" s="7" customFormat="1" ht="13.5" customHeight="1"/>
    <row r="419" s="7" customFormat="1" ht="13.5" customHeight="1"/>
    <row r="420" s="7" customFormat="1" ht="13.5" customHeight="1"/>
    <row r="421" s="7" customFormat="1" ht="13.5" customHeight="1"/>
    <row r="422" s="7" customFormat="1" ht="13.5" customHeight="1"/>
    <row r="423" s="7" customFormat="1" ht="13.5" customHeight="1"/>
    <row r="424" s="7" customFormat="1" ht="13.5" customHeight="1"/>
    <row r="425" s="7" customFormat="1" ht="13.5" customHeight="1"/>
    <row r="426" s="7" customFormat="1" ht="13.5" customHeight="1"/>
    <row r="427" s="7" customFormat="1" ht="13.5" customHeight="1"/>
    <row r="428" s="7" customFormat="1" ht="13.5" customHeight="1"/>
    <row r="429" s="7" customFormat="1" ht="13.5" customHeight="1"/>
    <row r="430" s="7" customFormat="1" ht="13.5" customHeight="1"/>
    <row r="431" s="7" customFormat="1" ht="13.5" customHeight="1"/>
    <row r="432" s="7" customFormat="1" ht="13.5" customHeight="1"/>
    <row r="433" s="7" customFormat="1" ht="13.5" customHeight="1"/>
    <row r="434" s="7" customFormat="1" ht="13.5" customHeight="1"/>
    <row r="435" s="7" customFormat="1" ht="13.5" customHeight="1"/>
    <row r="436" s="7" customFormat="1" ht="13.5" customHeight="1"/>
    <row r="437" s="7" customFormat="1" ht="13.5" customHeight="1"/>
    <row r="438" s="7" customFormat="1" ht="13.5" customHeight="1"/>
    <row r="439" s="7" customFormat="1" ht="13.5" customHeight="1"/>
    <row r="440" s="7" customFormat="1" ht="13.5" customHeight="1"/>
    <row r="441" s="7" customFormat="1" ht="13.5" customHeight="1"/>
    <row r="442" s="7" customFormat="1" ht="13.5" customHeight="1"/>
    <row r="443" s="7" customFormat="1" ht="13.5" customHeight="1"/>
    <row r="444" s="7" customFormat="1" ht="13.5" customHeight="1"/>
    <row r="445" s="7" customFormat="1" ht="13.5" customHeight="1"/>
    <row r="446" s="7" customFormat="1" ht="13.5" customHeight="1"/>
    <row r="447" s="7" customFormat="1" ht="13.5" customHeight="1"/>
    <row r="448" s="7" customFormat="1" ht="13.5" customHeight="1"/>
    <row r="449" s="7" customFormat="1" ht="13.5" customHeight="1"/>
    <row r="450" s="7" customFormat="1" ht="13.5" customHeight="1"/>
    <row r="451" s="7" customFormat="1" ht="13.5" customHeight="1"/>
    <row r="452" s="7" customFormat="1" ht="13.5" customHeight="1"/>
    <row r="453" s="7" customFormat="1" ht="13.5" customHeight="1"/>
    <row r="454" s="7" customFormat="1" ht="13.5" customHeight="1"/>
    <row r="455" s="7" customFormat="1" ht="13.5" customHeight="1"/>
    <row r="456" s="7" customFormat="1" ht="13.5" customHeight="1"/>
    <row r="457" s="7" customFormat="1" ht="13.5" customHeight="1"/>
    <row r="458" s="7" customFormat="1" ht="13.5" customHeight="1"/>
    <row r="459" s="7" customFormat="1" ht="13.5" customHeight="1"/>
    <row r="460" s="7" customFormat="1" ht="13.5" customHeight="1"/>
    <row r="461" s="7" customFormat="1" ht="13.5" customHeight="1"/>
    <row r="462" s="7" customFormat="1" ht="13.5" customHeight="1"/>
    <row r="463" s="7" customFormat="1" ht="13.5" customHeight="1"/>
    <row r="464" s="7" customFormat="1" ht="13.5" customHeight="1"/>
    <row r="465" s="7" customFormat="1" ht="13.5" customHeight="1"/>
    <row r="466" s="7" customFormat="1" ht="13.5" customHeight="1"/>
    <row r="467" s="7" customFormat="1" ht="13.5" customHeight="1"/>
    <row r="468" s="7" customFormat="1" ht="13.5" customHeight="1"/>
    <row r="469" s="7" customFormat="1" ht="13.5" customHeight="1"/>
    <row r="470" s="7" customFormat="1" ht="13.5" customHeight="1"/>
    <row r="471" s="7" customFormat="1" ht="13.5" customHeight="1"/>
    <row r="472" s="7" customFormat="1" ht="13.5" customHeight="1"/>
    <row r="473" s="7" customFormat="1" ht="13.5" customHeight="1"/>
    <row r="474" s="7" customFormat="1" ht="13.5" customHeight="1"/>
    <row r="475" s="7" customFormat="1" ht="13.5" customHeight="1"/>
    <row r="476" s="7" customFormat="1" ht="13.5" customHeight="1"/>
    <row r="477" s="7" customFormat="1" ht="13.5" customHeight="1"/>
    <row r="478" s="7" customFormat="1" ht="13.5" customHeight="1"/>
    <row r="479" s="7" customFormat="1" ht="13.5" customHeight="1"/>
    <row r="480" s="7" customFormat="1" ht="13.5" customHeight="1"/>
    <row r="481" s="7" customFormat="1" ht="13.5" customHeight="1"/>
    <row r="482" s="7" customFormat="1" ht="13.5" customHeight="1"/>
    <row r="483" s="7" customFormat="1" ht="13.5" customHeight="1"/>
    <row r="484" s="7" customFormat="1" ht="13.5" customHeight="1"/>
    <row r="485" s="7" customFormat="1" ht="13.5" customHeight="1"/>
    <row r="486" s="7" customFormat="1" ht="13.5" customHeight="1"/>
    <row r="487" s="7" customFormat="1" ht="13.5" customHeight="1"/>
    <row r="488" s="7" customFormat="1" ht="13.5" customHeight="1"/>
    <row r="489" s="7" customFormat="1" ht="13.5" customHeight="1"/>
    <row r="490" s="7" customFormat="1" ht="13.5" customHeight="1"/>
    <row r="491" s="7" customFormat="1" ht="13.5" customHeight="1"/>
    <row r="492" s="7" customFormat="1" ht="13.5" customHeight="1"/>
    <row r="493" s="7" customFormat="1" ht="13.5" customHeight="1"/>
    <row r="494" s="7" customFormat="1" ht="13.5" customHeight="1"/>
    <row r="495" s="7" customFormat="1" ht="13.5" customHeight="1"/>
    <row r="496" s="7" customFormat="1" ht="13.5" customHeight="1"/>
    <row r="497" s="7" customFormat="1" ht="13.5" customHeight="1"/>
    <row r="498" s="7" customFormat="1" ht="13.5" customHeight="1"/>
    <row r="499" s="7" customFormat="1" ht="13.5" customHeight="1"/>
    <row r="500" s="7" customFormat="1" ht="13.5" customHeight="1"/>
    <row r="501" s="7" customFormat="1" ht="13.5" customHeight="1"/>
    <row r="502" s="7" customFormat="1" ht="13.5" customHeight="1"/>
    <row r="503" s="7" customFormat="1" ht="13.5" customHeight="1"/>
    <row r="504" s="7" customFormat="1" ht="13.5" customHeight="1"/>
    <row r="505" s="7" customFormat="1" ht="13.5" customHeight="1"/>
    <row r="506" s="7" customFormat="1" ht="13.5" customHeight="1"/>
    <row r="507" s="7" customFormat="1" ht="13.5" customHeight="1"/>
    <row r="508" s="7" customFormat="1" ht="13.5" customHeight="1"/>
    <row r="509" s="7" customFormat="1" ht="13.5" customHeight="1"/>
    <row r="510" s="7" customFormat="1" ht="13.5" customHeight="1"/>
    <row r="511" s="7" customFormat="1" ht="13.5" customHeight="1"/>
    <row r="512" s="7" customFormat="1" ht="13.5" customHeight="1"/>
    <row r="513" s="7" customFormat="1" ht="13.5" customHeight="1"/>
    <row r="514" s="7" customFormat="1" ht="13.5" customHeight="1"/>
    <row r="515" s="7" customFormat="1" ht="13.5" customHeight="1"/>
    <row r="516" s="7" customFormat="1" ht="13.5" customHeight="1"/>
    <row r="517" s="7" customFormat="1" ht="13.5" customHeight="1"/>
    <row r="518" s="7" customFormat="1" ht="13.5" customHeight="1"/>
    <row r="519" s="7" customFormat="1" ht="13.5" customHeight="1"/>
    <row r="520" s="7" customFormat="1" ht="13.5" customHeight="1"/>
    <row r="521" s="7" customFormat="1" ht="13.5" customHeight="1"/>
    <row r="522" s="7" customFormat="1" ht="13.5" customHeight="1"/>
    <row r="523" s="7" customFormat="1" ht="13.5" customHeight="1"/>
    <row r="524" s="7" customFormat="1" ht="13.5" customHeight="1"/>
    <row r="525" s="7" customFormat="1" ht="13.5" customHeight="1"/>
    <row r="526" s="7" customFormat="1" ht="13.5" customHeight="1"/>
    <row r="527" s="7" customFormat="1" ht="13.5" customHeight="1"/>
    <row r="528" s="7" customFormat="1" ht="13.5" customHeight="1"/>
    <row r="529" s="7" customFormat="1" ht="13.5" customHeight="1"/>
    <row r="530" s="7" customFormat="1" ht="13.5" customHeight="1"/>
    <row r="531" s="7" customFormat="1" ht="13.5" customHeight="1"/>
    <row r="532" s="7" customFormat="1" ht="13.5" customHeight="1"/>
    <row r="533" s="7" customFormat="1" ht="13.5" customHeight="1"/>
    <row r="534" s="7" customFormat="1" ht="13.5" customHeight="1"/>
    <row r="535" s="7" customFormat="1" ht="13.5" customHeight="1"/>
    <row r="536" s="7" customFormat="1" ht="13.5" customHeight="1"/>
    <row r="537" s="7" customFormat="1" ht="13.5" customHeight="1"/>
    <row r="538" s="7" customFormat="1" ht="13.5" customHeight="1"/>
    <row r="539" s="7" customFormat="1" ht="13.5" customHeight="1"/>
    <row r="540" s="7" customFormat="1" ht="13.5" customHeight="1"/>
    <row r="541" s="7" customFormat="1" ht="13.5" customHeight="1"/>
    <row r="542" s="7" customFormat="1" ht="13.5" customHeight="1"/>
    <row r="543" s="7" customFormat="1" ht="13.5" customHeight="1"/>
    <row r="544" s="7" customFormat="1" ht="13.5" customHeight="1"/>
    <row r="545" s="7" customFormat="1" ht="13.5" customHeight="1"/>
    <row r="546" s="7" customFormat="1" ht="13.5" customHeight="1"/>
    <row r="547" s="7" customFormat="1" ht="13.5" customHeight="1"/>
    <row r="548" s="7" customFormat="1" ht="13.5" customHeight="1"/>
    <row r="549" s="7" customFormat="1" ht="13.5" customHeight="1"/>
    <row r="550" s="7" customFormat="1" ht="13.5" customHeight="1"/>
    <row r="551" s="7" customFormat="1" ht="13.5" customHeight="1"/>
    <row r="552" s="7" customFormat="1" ht="13.5" customHeight="1"/>
    <row r="553" s="7" customFormat="1" ht="13.5" customHeight="1"/>
    <row r="554" s="7" customFormat="1" ht="13.5" customHeight="1"/>
    <row r="555" s="7" customFormat="1" ht="13.5" customHeight="1"/>
    <row r="556" s="7" customFormat="1" ht="13.5" customHeight="1"/>
    <row r="557" s="7" customFormat="1" ht="13.5" customHeight="1"/>
    <row r="558" s="7" customFormat="1" ht="13.5" customHeight="1"/>
    <row r="559" s="7" customFormat="1" ht="13.5" customHeight="1"/>
    <row r="560" s="7" customFormat="1" ht="13.5" customHeight="1"/>
    <row r="561" s="7" customFormat="1" ht="13.5" customHeight="1"/>
    <row r="562" s="7" customFormat="1" ht="13.5" customHeight="1"/>
    <row r="563" s="7" customFormat="1" ht="13.5" customHeight="1"/>
    <row r="564" s="7" customFormat="1" ht="13.5" customHeight="1"/>
    <row r="565" s="7" customFormat="1" ht="13.5" customHeight="1"/>
    <row r="566" s="7" customFormat="1" ht="13.5" customHeight="1"/>
    <row r="567" s="7" customFormat="1" ht="13.5" customHeight="1"/>
    <row r="568" s="7" customFormat="1" ht="13.5" customHeight="1"/>
    <row r="569" s="7" customFormat="1" ht="13.5" customHeight="1"/>
    <row r="570" s="7" customFormat="1" ht="13.5" customHeight="1"/>
    <row r="571" s="7" customFormat="1" ht="13.5" customHeight="1"/>
    <row r="572" s="7" customFormat="1" ht="13.5" customHeight="1"/>
    <row r="573" s="7" customFormat="1" ht="13.5" customHeight="1"/>
    <row r="574" s="7" customFormat="1" ht="13.5" customHeight="1"/>
    <row r="575" s="7" customFormat="1" ht="13.5" customHeight="1"/>
    <row r="576" s="7" customFormat="1" ht="13.5" customHeight="1"/>
    <row r="577" s="7" customFormat="1" ht="13.5" customHeight="1"/>
    <row r="578" s="7" customFormat="1" ht="13.5" customHeight="1"/>
    <row r="579" s="7" customFormat="1" ht="13.5" customHeight="1"/>
    <row r="580" s="7" customFormat="1" ht="13.5" customHeight="1"/>
    <row r="581" s="7" customFormat="1" ht="13.5" customHeight="1"/>
    <row r="582" s="7" customFormat="1" ht="13.5" customHeight="1"/>
    <row r="583" s="7" customFormat="1" ht="13.5" customHeight="1"/>
    <row r="584" s="7" customFormat="1" ht="13.5" customHeight="1"/>
    <row r="585" s="7" customFormat="1" ht="13.5" customHeight="1"/>
    <row r="586" s="7" customFormat="1" ht="13.5" customHeight="1"/>
    <row r="587" s="7" customFormat="1" ht="13.5" customHeight="1"/>
    <row r="588" s="7" customFormat="1" ht="13.5" customHeight="1"/>
    <row r="589" s="7" customFormat="1" ht="13.5" customHeight="1"/>
    <row r="590" s="7" customFormat="1" ht="13.5" customHeight="1"/>
    <row r="591" s="7" customFormat="1" ht="13.5" customHeight="1"/>
    <row r="592" s="7" customFormat="1" ht="13.5" customHeight="1"/>
    <row r="593" s="7" customFormat="1" ht="13.5" customHeight="1"/>
    <row r="594" s="7" customFormat="1" ht="13.5" customHeight="1"/>
    <row r="595" s="7" customFormat="1" ht="13.5" customHeight="1"/>
    <row r="596" s="7" customFormat="1" ht="13.5" customHeight="1"/>
    <row r="597" s="7" customFormat="1" ht="13.5" customHeight="1"/>
    <row r="598" s="7" customFormat="1" ht="13.5" customHeight="1"/>
    <row r="599" s="7" customFormat="1" ht="13.5" customHeight="1"/>
    <row r="600" s="7" customFormat="1" ht="13.5" customHeight="1"/>
    <row r="601" s="7" customFormat="1" ht="13.5" customHeight="1"/>
    <row r="602" s="7" customFormat="1" ht="13.5" customHeight="1"/>
    <row r="603" s="7" customFormat="1" ht="13.5" customHeight="1"/>
    <row r="604" s="7" customFormat="1" ht="13.5" customHeight="1"/>
    <row r="605" s="7" customFormat="1" ht="13.5" customHeight="1"/>
    <row r="606" s="7" customFormat="1" ht="13.5" customHeight="1"/>
    <row r="607" s="7" customFormat="1" ht="13.5" customHeight="1"/>
    <row r="608" s="7" customFormat="1" ht="13.5" customHeight="1"/>
    <row r="609" s="7" customFormat="1" ht="13.5" customHeight="1"/>
    <row r="610" s="7" customFormat="1" ht="13.5" customHeight="1"/>
    <row r="611" s="7" customFormat="1" ht="13.5" customHeight="1"/>
    <row r="612" s="7" customFormat="1" ht="13.5" customHeight="1"/>
    <row r="613" s="7" customFormat="1" ht="13.5" customHeight="1"/>
    <row r="614" s="7" customFormat="1" ht="13.5" customHeight="1"/>
    <row r="615" s="7" customFormat="1" ht="13.5" customHeight="1"/>
    <row r="616" s="7" customFormat="1" ht="13.5" customHeight="1"/>
    <row r="617" s="7" customFormat="1" ht="13.5" customHeight="1"/>
    <row r="618" s="7" customFormat="1" ht="13.5" customHeight="1"/>
    <row r="619" s="7" customFormat="1" ht="13.5" customHeight="1"/>
    <row r="620" s="7" customFormat="1" ht="13.5" customHeight="1"/>
    <row r="621" s="7" customFormat="1" ht="13.5" customHeight="1"/>
    <row r="622" s="7" customFormat="1" ht="13.5" customHeight="1"/>
    <row r="623" s="7" customFormat="1" ht="13.5" customHeight="1"/>
    <row r="624" s="7" customFormat="1" ht="13.5" customHeight="1"/>
    <row r="625" s="7" customFormat="1" ht="13.5" customHeight="1"/>
    <row r="626" s="7" customFormat="1" ht="13.5" customHeight="1"/>
    <row r="627" s="7" customFormat="1" ht="13.5" customHeight="1"/>
    <row r="628" s="7" customFormat="1" ht="13.5" customHeight="1"/>
    <row r="629" s="7" customFormat="1" ht="13.5" customHeight="1"/>
    <row r="630" s="7" customFormat="1" ht="13.5" customHeight="1"/>
    <row r="631" s="7" customFormat="1" ht="13.5" customHeight="1"/>
    <row r="632" s="7" customFormat="1" ht="13.5" customHeight="1"/>
    <row r="633" s="7" customFormat="1" ht="13.5" customHeight="1"/>
    <row r="634" s="7" customFormat="1" ht="13.5" customHeight="1"/>
    <row r="635" s="7" customFormat="1" ht="13.5" customHeight="1"/>
    <row r="636" s="7" customFormat="1" ht="13.5" customHeight="1"/>
    <row r="637" s="7" customFormat="1" ht="13.5" customHeight="1"/>
    <row r="638" s="7" customFormat="1" ht="13.5" customHeight="1"/>
    <row r="639" s="7" customFormat="1" ht="13.5" customHeight="1"/>
    <row r="640" s="7" customFormat="1" ht="13.5" customHeight="1"/>
    <row r="641" s="7" customFormat="1" ht="13.5" customHeight="1"/>
    <row r="642" s="7" customFormat="1" ht="13.5" customHeight="1"/>
    <row r="643" s="7" customFormat="1" ht="13.5" customHeight="1"/>
    <row r="644" s="7" customFormat="1" ht="13.5" customHeight="1"/>
    <row r="645" s="7" customFormat="1" ht="13.5" customHeight="1"/>
    <row r="646" s="7" customFormat="1" ht="13.5" customHeight="1"/>
    <row r="647" s="7" customFormat="1" ht="13.5" customHeight="1"/>
    <row r="648" s="7" customFormat="1" ht="13.5" customHeight="1"/>
    <row r="649" s="7" customFormat="1" ht="13.5" customHeight="1"/>
    <row r="650" s="7" customFormat="1" ht="13.5" customHeight="1"/>
    <row r="651" s="7" customFormat="1" ht="13.5" customHeight="1"/>
    <row r="652" s="7" customFormat="1" ht="13.5" customHeight="1"/>
    <row r="653" s="7" customFormat="1" ht="13.5" customHeight="1"/>
    <row r="654" s="7" customFormat="1" ht="13.5" customHeight="1"/>
    <row r="655" s="7" customFormat="1" ht="13.5" customHeight="1"/>
    <row r="656" s="7" customFormat="1" ht="13.5" customHeight="1"/>
    <row r="657" s="7" customFormat="1" ht="13.5" customHeight="1"/>
    <row r="658" s="7" customFormat="1" ht="13.5" customHeight="1"/>
    <row r="659" s="7" customFormat="1" ht="13.5" customHeight="1"/>
    <row r="660" s="7" customFormat="1" ht="13.5" customHeight="1"/>
    <row r="661" s="7" customFormat="1" ht="13.5" customHeight="1"/>
    <row r="662" s="7" customFormat="1" ht="13.5" customHeight="1"/>
    <row r="663" s="7" customFormat="1" ht="13.5" customHeight="1"/>
    <row r="664" s="7" customFormat="1" ht="13.5" customHeight="1"/>
    <row r="665" s="7" customFormat="1" ht="13.5" customHeight="1"/>
    <row r="666" s="7" customFormat="1" ht="13.5" customHeight="1"/>
    <row r="667" s="7" customFormat="1" ht="13.5" customHeight="1"/>
    <row r="668" s="7" customFormat="1" ht="13.5" customHeight="1"/>
    <row r="669" s="7" customFormat="1" ht="13.5" customHeight="1"/>
    <row r="670" s="7" customFormat="1" ht="13.5" customHeight="1"/>
    <row r="671" s="7" customFormat="1" ht="13.5" customHeight="1"/>
    <row r="672" s="7" customFormat="1" ht="13.5" customHeight="1"/>
    <row r="673" s="7" customFormat="1" ht="13.5" customHeight="1"/>
    <row r="674" s="7" customFormat="1" ht="13.5" customHeight="1"/>
    <row r="675" s="7" customFormat="1" ht="13.5" customHeight="1"/>
    <row r="676" s="7" customFormat="1" ht="13.5" customHeight="1"/>
    <row r="677" s="7" customFormat="1" ht="13.5" customHeight="1"/>
    <row r="678" s="7" customFormat="1" ht="13.5" customHeight="1"/>
    <row r="679" s="7" customFormat="1" ht="13.5" customHeight="1"/>
    <row r="680" s="7" customFormat="1" ht="13.5" customHeight="1"/>
    <row r="681" s="7" customFormat="1" ht="13.5" customHeight="1"/>
    <row r="682" s="7" customFormat="1" ht="13.5" customHeight="1"/>
    <row r="683" s="7" customFormat="1" ht="13.5" customHeight="1"/>
    <row r="684" s="7" customFormat="1" ht="13.5" customHeight="1"/>
    <row r="685" s="7" customFormat="1" ht="13.5" customHeight="1"/>
    <row r="686" s="7" customFormat="1" ht="13.5" customHeight="1"/>
    <row r="687" s="7" customFormat="1" ht="13.5" customHeight="1"/>
    <row r="688" s="7" customFormat="1" ht="13.5" customHeight="1"/>
    <row r="689" s="7" customFormat="1" ht="13.5" customHeight="1"/>
    <row r="690" s="7" customFormat="1" ht="13.5" customHeight="1"/>
    <row r="691" s="7" customFormat="1" ht="13.5" customHeight="1"/>
    <row r="692" s="7" customFormat="1" ht="13.5" customHeight="1"/>
    <row r="693" s="7" customFormat="1" ht="13.5" customHeight="1"/>
    <row r="694" s="7" customFormat="1" ht="13.5" customHeight="1"/>
    <row r="695" s="7" customFormat="1" ht="13.5" customHeight="1"/>
    <row r="696" s="7" customFormat="1" ht="13.5" customHeight="1"/>
    <row r="697" s="7" customFormat="1" ht="13.5" customHeight="1"/>
    <row r="698" s="7" customFormat="1" ht="13.5" customHeight="1"/>
    <row r="699" s="7" customFormat="1" ht="13.5" customHeight="1"/>
    <row r="700" s="7" customFormat="1" ht="13.5" customHeight="1"/>
    <row r="701" s="7" customFormat="1" ht="13.5" customHeight="1"/>
    <row r="702" s="7" customFormat="1" ht="13.5" customHeight="1"/>
    <row r="703" s="7" customFormat="1" ht="13.5" customHeight="1"/>
    <row r="704" s="7" customFormat="1" ht="13.5" customHeight="1"/>
    <row r="705" s="7" customFormat="1" ht="13.5" customHeight="1"/>
    <row r="706" s="7" customFormat="1" ht="13.5" customHeight="1"/>
    <row r="707" s="7" customFormat="1" ht="13.5" customHeight="1"/>
    <row r="708" s="7" customFormat="1" ht="13.5" customHeight="1"/>
    <row r="709" s="7" customFormat="1" ht="13.5" customHeight="1"/>
    <row r="710" s="7" customFormat="1" ht="13.5" customHeight="1"/>
    <row r="711" s="7" customFormat="1" ht="13.5" customHeight="1"/>
    <row r="712" s="7" customFormat="1" ht="13.5" customHeight="1"/>
    <row r="713" s="7" customFormat="1" ht="13.5" customHeight="1"/>
    <row r="714" s="7" customFormat="1" ht="13.5" customHeight="1"/>
    <row r="715" s="7" customFormat="1" ht="13.5" customHeight="1"/>
    <row r="716" s="7" customFormat="1" ht="13.5" customHeight="1"/>
    <row r="717" s="7" customFormat="1" ht="13.5" customHeight="1"/>
    <row r="718" s="7" customFormat="1" ht="13.5" customHeight="1"/>
    <row r="719" s="7" customFormat="1" ht="13.5" customHeight="1"/>
    <row r="720" s="7" customFormat="1" ht="13.5" customHeight="1"/>
    <row r="721" s="7" customFormat="1" ht="13.5" customHeight="1"/>
    <row r="722" s="7" customFormat="1" ht="13.5" customHeight="1"/>
    <row r="723" s="7" customFormat="1" ht="13.5" customHeight="1"/>
    <row r="724" s="7" customFormat="1" ht="13.5" customHeight="1"/>
    <row r="725" s="7" customFormat="1" ht="13.5" customHeight="1"/>
    <row r="726" s="7" customFormat="1" ht="13.5" customHeight="1"/>
    <row r="727" s="7" customFormat="1" ht="13.5" customHeight="1"/>
    <row r="728" s="7" customFormat="1" ht="13.5" customHeight="1"/>
    <row r="729" s="7" customFormat="1" ht="13.5" customHeight="1"/>
    <row r="730" s="7" customFormat="1" ht="13.5" customHeight="1"/>
    <row r="731" s="7" customFormat="1" ht="13.5" customHeight="1"/>
    <row r="732" s="7" customFormat="1" ht="13.5" customHeight="1"/>
    <row r="733" s="7" customFormat="1" ht="13.5" customHeight="1"/>
    <row r="734" s="7" customFormat="1" ht="13.5" customHeight="1"/>
    <row r="735" s="7" customFormat="1" ht="13.5" customHeight="1"/>
    <row r="736" s="7" customFormat="1" ht="13.5" customHeight="1"/>
    <row r="737" s="7" customFormat="1" ht="13.5" customHeight="1"/>
    <row r="738" s="7" customFormat="1" ht="13.5" customHeight="1"/>
    <row r="739" s="7" customFormat="1" ht="13.5" customHeight="1"/>
    <row r="740" s="7" customFormat="1" ht="13.5" customHeight="1"/>
    <row r="741" s="7" customFormat="1" ht="13.5" customHeight="1"/>
    <row r="742" s="7" customFormat="1" ht="13.5" customHeight="1"/>
    <row r="743" s="7" customFormat="1" ht="13.5" customHeight="1"/>
    <row r="744" s="7" customFormat="1" ht="13.5" customHeight="1"/>
    <row r="745" s="7" customFormat="1" ht="13.5" customHeight="1"/>
    <row r="746" s="7" customFormat="1" ht="13.5" customHeight="1"/>
    <row r="747" s="7" customFormat="1" ht="13.5" customHeight="1"/>
    <row r="748" s="7" customFormat="1" ht="13.5" customHeight="1"/>
    <row r="749" s="7" customFormat="1" ht="13.5" customHeight="1"/>
    <row r="750" s="7" customFormat="1" ht="13.5" customHeight="1"/>
    <row r="751" s="7" customFormat="1" ht="13.5" customHeight="1"/>
    <row r="752" s="7" customFormat="1" ht="13.5" customHeight="1"/>
    <row r="753" s="7" customFormat="1" ht="13.5" customHeight="1"/>
    <row r="754" s="7" customFormat="1" ht="13.5" customHeight="1"/>
    <row r="755" s="7" customFormat="1" ht="13.5" customHeight="1"/>
    <row r="756" s="7" customFormat="1" ht="13.5" customHeight="1"/>
    <row r="757" s="7" customFormat="1" ht="13.5" customHeight="1"/>
    <row r="758" s="7" customFormat="1" ht="13.5" customHeight="1"/>
    <row r="759" s="7" customFormat="1" ht="13.5" customHeight="1"/>
    <row r="760" s="7" customFormat="1" ht="13.5" customHeight="1"/>
    <row r="761" s="7" customFormat="1" ht="13.5" customHeight="1"/>
    <row r="762" s="7" customFormat="1" ht="13.5" customHeight="1"/>
    <row r="763" s="7" customFormat="1" ht="13.5" customHeight="1"/>
    <row r="764" s="7" customFormat="1" ht="13.5" customHeight="1"/>
    <row r="765" s="7" customFormat="1" ht="13.5" customHeight="1"/>
    <row r="766" s="7" customFormat="1" ht="13.5" customHeight="1"/>
    <row r="767" s="7" customFormat="1" ht="13.5" customHeight="1"/>
    <row r="768" s="7" customFormat="1" ht="13.5" customHeight="1"/>
    <row r="769" s="7" customFormat="1" ht="13.5" customHeight="1"/>
    <row r="770" s="7" customFormat="1" ht="13.5" customHeight="1"/>
    <row r="771" s="7" customFormat="1" ht="13.5" customHeight="1"/>
    <row r="772" s="7" customFormat="1" ht="13.5" customHeight="1"/>
    <row r="773" s="7" customFormat="1" ht="13.5" customHeight="1"/>
    <row r="774" s="7" customFormat="1" ht="13.5" customHeight="1"/>
    <row r="775" s="7" customFormat="1" ht="13.5" customHeight="1"/>
    <row r="776" s="7" customFormat="1" ht="13.5" customHeight="1"/>
    <row r="777" s="7" customFormat="1" ht="13.5" customHeight="1"/>
    <row r="778" s="7" customFormat="1" ht="13.5" customHeight="1"/>
    <row r="779" s="7" customFormat="1" ht="13.5" customHeight="1"/>
    <row r="780" s="7" customFormat="1" ht="13.5" customHeight="1"/>
    <row r="781" s="7" customFormat="1" ht="13.5" customHeight="1"/>
    <row r="782" s="7" customFormat="1" ht="13.5" customHeight="1"/>
    <row r="783" s="7" customFormat="1" ht="13.5" customHeight="1"/>
    <row r="784" s="7" customFormat="1" ht="13.5" customHeight="1"/>
    <row r="785" s="7" customFormat="1" ht="13.5" customHeight="1"/>
    <row r="786" s="7" customFormat="1" ht="13.5" customHeight="1"/>
    <row r="787" s="7" customFormat="1" ht="13.5" customHeight="1"/>
    <row r="788" s="7" customFormat="1" ht="13.5" customHeight="1"/>
    <row r="789" s="7" customFormat="1" ht="13.5" customHeight="1"/>
    <row r="790" s="7" customFormat="1" ht="13.5" customHeight="1"/>
    <row r="791" s="7" customFormat="1" ht="13.5" customHeight="1"/>
    <row r="792" s="7" customFormat="1" ht="13.5" customHeight="1"/>
    <row r="793" s="7" customFormat="1" ht="13.5" customHeight="1"/>
    <row r="794" s="7" customFormat="1" ht="13.5" customHeight="1"/>
    <row r="795" s="7" customFormat="1" ht="13.5" customHeight="1"/>
    <row r="796" s="7" customFormat="1" ht="13.5" customHeight="1"/>
    <row r="797" s="7" customFormat="1" ht="13.5" customHeight="1"/>
    <row r="798" s="7" customFormat="1" ht="13.5" customHeight="1"/>
    <row r="799" s="7" customFormat="1" ht="13.5" customHeight="1"/>
    <row r="800" s="7" customFormat="1" ht="13.5" customHeight="1"/>
    <row r="801" s="7" customFormat="1" ht="13.5" customHeight="1"/>
    <row r="802" s="7" customFormat="1" ht="13.5" customHeight="1"/>
    <row r="803" s="7" customFormat="1" ht="13.5" customHeight="1"/>
    <row r="804" s="7" customFormat="1" ht="13.5" customHeight="1"/>
    <row r="805" s="7" customFormat="1" ht="13.5" customHeight="1"/>
    <row r="806" s="7" customFormat="1" ht="13.5" customHeight="1"/>
    <row r="807" s="7" customFormat="1" ht="13.5" customHeight="1"/>
    <row r="808" s="7" customFormat="1" ht="13.5" customHeight="1"/>
    <row r="809" s="7" customFormat="1" ht="13.5" customHeight="1"/>
    <row r="810" s="7" customFormat="1" ht="13.5" customHeight="1"/>
    <row r="811" s="7" customFormat="1" ht="13.5" customHeight="1"/>
    <row r="812" s="7" customFormat="1" ht="13.5" customHeight="1"/>
    <row r="813" s="7" customFormat="1" ht="13.5" customHeight="1"/>
    <row r="814" s="7" customFormat="1" ht="13.5" customHeight="1"/>
    <row r="815" s="7" customFormat="1" ht="13.5" customHeight="1"/>
    <row r="816" s="7" customFormat="1" ht="13.5" customHeight="1"/>
    <row r="817" s="7" customFormat="1" ht="13.5" customHeight="1"/>
    <row r="818" s="7" customFormat="1" ht="13.5" customHeight="1"/>
    <row r="819" s="7" customFormat="1" ht="13.5" customHeight="1"/>
    <row r="820" s="7" customFormat="1" ht="13.5" customHeight="1"/>
    <row r="821" s="7" customFormat="1" ht="13.5" customHeight="1"/>
    <row r="822" s="7" customFormat="1" ht="13.5" customHeight="1"/>
    <row r="823" s="7" customFormat="1" ht="13.5" customHeight="1"/>
    <row r="824" s="7" customFormat="1" ht="13.5" customHeight="1"/>
    <row r="825" s="7" customFormat="1" ht="13.5" customHeight="1"/>
    <row r="826" s="7" customFormat="1" ht="13.5" customHeight="1"/>
    <row r="827" s="7" customFormat="1" ht="13.5" customHeight="1"/>
    <row r="828" s="7" customFormat="1" ht="13.5" customHeight="1"/>
    <row r="829" s="7" customFormat="1" ht="13.5" customHeight="1"/>
    <row r="830" s="7" customFormat="1" ht="13.5" customHeight="1"/>
    <row r="831" s="7" customFormat="1" ht="13.5" customHeight="1"/>
    <row r="832" s="7" customFormat="1" ht="13.5" customHeight="1"/>
    <row r="833" s="7" customFormat="1" ht="13.5" customHeight="1"/>
    <row r="834" s="7" customFormat="1" ht="13.5" customHeight="1"/>
    <row r="835" s="7" customFormat="1" ht="13.5" customHeight="1"/>
    <row r="836" s="7" customFormat="1" ht="13.5" customHeight="1"/>
    <row r="837" s="7" customFormat="1" ht="13.5" customHeight="1"/>
    <row r="838" s="7" customFormat="1" ht="13.5" customHeight="1"/>
    <row r="839" s="7" customFormat="1" ht="13.5" customHeight="1"/>
    <row r="840" s="7" customFormat="1" ht="13.5" customHeight="1"/>
    <row r="841" s="7" customFormat="1" ht="13.5" customHeight="1"/>
    <row r="842" s="7" customFormat="1" ht="13.5" customHeight="1"/>
    <row r="843" s="7" customFormat="1" ht="13.5" customHeight="1"/>
    <row r="844" s="7" customFormat="1" ht="13.5" customHeight="1"/>
    <row r="845" s="7" customFormat="1" ht="13.5" customHeight="1"/>
    <row r="846" s="7" customFormat="1" ht="13.5" customHeight="1"/>
    <row r="847" s="7" customFormat="1" ht="13.5" customHeight="1"/>
    <row r="848" s="7" customFormat="1" ht="13.5" customHeight="1"/>
    <row r="849" s="7" customFormat="1" ht="13.5" customHeight="1"/>
    <row r="850" s="7" customFormat="1" ht="13.5" customHeight="1"/>
    <row r="851" s="7" customFormat="1" ht="13.5" customHeight="1"/>
    <row r="852" s="7" customFormat="1" ht="13.5" customHeight="1"/>
    <row r="853" s="7" customFormat="1" ht="13.5" customHeight="1"/>
    <row r="854" s="7" customFormat="1" ht="13.5" customHeight="1"/>
    <row r="855" s="7" customFormat="1" ht="13.5" customHeight="1"/>
    <row r="856" s="7" customFormat="1" ht="13.5" customHeight="1"/>
    <row r="857" s="7" customFormat="1" ht="13.5" customHeight="1"/>
    <row r="858" s="7" customFormat="1" ht="13.5" customHeight="1"/>
    <row r="859" s="7" customFormat="1" ht="13.5" customHeight="1"/>
    <row r="860" s="7" customFormat="1" ht="13.5" customHeight="1"/>
    <row r="861" s="7" customFormat="1" ht="13.5" customHeight="1"/>
    <row r="862" s="7" customFormat="1" ht="13.5" customHeight="1"/>
    <row r="863" s="7" customFormat="1" ht="13.5" customHeight="1"/>
    <row r="864" s="7" customFormat="1" ht="13.5" customHeight="1"/>
    <row r="865" s="7" customFormat="1" ht="13.5" customHeight="1"/>
    <row r="866" s="7" customFormat="1" ht="13.5" customHeight="1"/>
    <row r="867" s="7" customFormat="1" ht="13.5" customHeight="1"/>
    <row r="868" s="7" customFormat="1" ht="13.5" customHeight="1"/>
    <row r="869" s="7" customFormat="1" ht="13.5" customHeight="1"/>
    <row r="870" s="7" customFormat="1" ht="13.5" customHeight="1"/>
    <row r="871" s="7" customFormat="1" ht="13.5" customHeight="1"/>
    <row r="872" s="7" customFormat="1" ht="13.5" customHeight="1"/>
    <row r="873" s="7" customFormat="1" ht="13.5" customHeight="1"/>
    <row r="874" s="7" customFormat="1" ht="13.5" customHeight="1"/>
    <row r="875" s="7" customFormat="1" ht="13.5" customHeight="1"/>
    <row r="876" s="7" customFormat="1" ht="13.5" customHeight="1"/>
    <row r="877" s="7" customFormat="1" ht="13.5" customHeight="1"/>
    <row r="878" s="7" customFormat="1" ht="13.5" customHeight="1"/>
    <row r="879" s="7" customFormat="1" ht="13.5" customHeight="1"/>
    <row r="880" s="7" customFormat="1" ht="13.5" customHeight="1"/>
    <row r="881" s="7" customFormat="1" ht="13.5" customHeight="1"/>
    <row r="882" s="7" customFormat="1" ht="13.5" customHeight="1"/>
    <row r="883" s="7" customFormat="1" ht="13.5" customHeight="1"/>
    <row r="884" s="7" customFormat="1" ht="13.5" customHeight="1"/>
    <row r="885" s="7" customFormat="1" ht="13.5" customHeight="1"/>
    <row r="886" s="7" customFormat="1" ht="13.5" customHeight="1"/>
    <row r="887" s="7" customFormat="1" ht="13.5" customHeight="1"/>
    <row r="888" s="7" customFormat="1" ht="13.5" customHeight="1"/>
    <row r="889" s="7" customFormat="1" ht="13.5" customHeight="1"/>
    <row r="890" s="7" customFormat="1" ht="13.5" customHeight="1"/>
    <row r="891" s="7" customFormat="1" ht="13.5" customHeight="1"/>
    <row r="892" s="7" customFormat="1" ht="13.5" customHeight="1"/>
    <row r="893" s="7" customFormat="1" ht="13.5" customHeight="1"/>
    <row r="894" s="7" customFormat="1" ht="13.5" customHeight="1"/>
    <row r="895" s="7" customFormat="1" ht="13.5" customHeight="1"/>
    <row r="896" s="7" customFormat="1" ht="13.5" customHeight="1"/>
    <row r="897" s="7" customFormat="1" ht="13.5" customHeight="1"/>
    <row r="898" s="7" customFormat="1" ht="13.5" customHeight="1"/>
    <row r="899" s="7" customFormat="1" ht="13.5" customHeight="1"/>
    <row r="900" s="7" customFormat="1" ht="13.5" customHeight="1"/>
    <row r="901" s="7" customFormat="1" ht="13.5" customHeight="1"/>
    <row r="902" s="7" customFormat="1" ht="13.5" customHeight="1"/>
    <row r="903" s="7" customFormat="1" ht="13.5" customHeight="1"/>
    <row r="904" s="7" customFormat="1" ht="13.5" customHeight="1"/>
    <row r="905" s="7" customFormat="1" ht="13.5" customHeight="1"/>
    <row r="906" s="7" customFormat="1" ht="13.5" customHeight="1"/>
    <row r="907" s="7" customFormat="1" ht="13.5" customHeight="1"/>
    <row r="908" s="7" customFormat="1" ht="13.5" customHeight="1"/>
    <row r="909" s="7" customFormat="1" ht="13.5" customHeight="1"/>
    <row r="910" s="7" customFormat="1" ht="13.5" customHeight="1"/>
    <row r="911" s="7" customFormat="1" ht="13.5" customHeight="1"/>
    <row r="912" s="7" customFormat="1" ht="13.5" customHeight="1"/>
    <row r="913" s="7" customFormat="1" ht="13.5" customHeight="1"/>
    <row r="914" s="7" customFormat="1" ht="13.5" customHeight="1"/>
    <row r="915" s="7" customFormat="1" ht="13.5" customHeight="1"/>
    <row r="916" s="7" customFormat="1" ht="13.5" customHeight="1"/>
    <row r="917" s="7" customFormat="1" ht="13.5" customHeight="1"/>
    <row r="918" s="7" customFormat="1" ht="13.5" customHeight="1"/>
    <row r="919" s="7" customFormat="1" ht="13.5" customHeight="1"/>
    <row r="920" s="7" customFormat="1" ht="13.5" customHeight="1"/>
    <row r="921" s="7" customFormat="1" ht="13.5" customHeight="1"/>
    <row r="922" s="7" customFormat="1" ht="13.5" customHeight="1"/>
    <row r="923" s="7" customFormat="1" ht="13.5" customHeight="1"/>
    <row r="924" s="7" customFormat="1" ht="13.5" customHeight="1"/>
    <row r="925" s="7" customFormat="1" ht="13.5" customHeight="1"/>
    <row r="926" s="7" customFormat="1" ht="13.5" customHeight="1"/>
    <row r="927" s="7" customFormat="1" ht="13.5" customHeight="1"/>
    <row r="928" s="7" customFormat="1" ht="13.5" customHeight="1"/>
    <row r="929" s="7" customFormat="1" ht="13.5" customHeight="1"/>
    <row r="930" s="7" customFormat="1" ht="13.5" customHeight="1"/>
    <row r="931" s="7" customFormat="1" ht="13.5" customHeight="1"/>
    <row r="932" s="7" customFormat="1" ht="13.5" customHeight="1"/>
    <row r="933" s="7" customFormat="1" ht="13.5" customHeight="1"/>
    <row r="934" s="7" customFormat="1" ht="13.5" customHeight="1"/>
    <row r="935" s="7" customFormat="1" ht="13.5" customHeight="1"/>
    <row r="936" s="7" customFormat="1" ht="13.5" customHeight="1"/>
    <row r="937" s="7" customFormat="1" ht="13.5" customHeight="1"/>
    <row r="938" s="7" customFormat="1" ht="13.5" customHeight="1"/>
    <row r="939" s="7" customFormat="1" ht="13.5" customHeight="1"/>
    <row r="940" s="7" customFormat="1" ht="13.5" customHeight="1"/>
    <row r="941" s="7" customFormat="1" ht="13.5" customHeight="1"/>
    <row r="942" s="7" customFormat="1" ht="13.5" customHeight="1"/>
    <row r="943" s="7" customFormat="1" ht="13.5" customHeight="1"/>
    <row r="944" s="7" customFormat="1" ht="13.5" customHeight="1"/>
    <row r="945" s="7" customFormat="1" ht="13.5" customHeight="1"/>
    <row r="946" s="7" customFormat="1" ht="13.5" customHeight="1"/>
    <row r="947" s="7" customFormat="1" ht="13.5" customHeight="1"/>
    <row r="948" s="7" customFormat="1" ht="13.5" customHeight="1"/>
    <row r="949" s="7" customFormat="1" ht="13.5" customHeight="1"/>
    <row r="950" s="7" customFormat="1" ht="13.5" customHeight="1"/>
    <row r="951" s="7" customFormat="1" ht="13.5" customHeight="1"/>
    <row r="952" s="7" customFormat="1" ht="13.5" customHeight="1"/>
    <row r="953" s="7" customFormat="1" ht="13.5" customHeight="1"/>
    <row r="954" s="7" customFormat="1" ht="13.5" customHeight="1"/>
    <row r="955" s="7" customFormat="1" ht="13.5" customHeight="1"/>
    <row r="956" s="7" customFormat="1" ht="13.5" customHeight="1"/>
    <row r="957" s="7" customFormat="1" ht="13.5" customHeight="1"/>
    <row r="958" s="7" customFormat="1" ht="13.5" customHeight="1"/>
    <row r="959" s="7" customFormat="1" ht="13.5" customHeight="1"/>
    <row r="960" s="7" customFormat="1" ht="13.5" customHeight="1"/>
    <row r="961" s="7" customFormat="1" ht="13.5" customHeight="1"/>
    <row r="962" s="7" customFormat="1" ht="13.5" customHeight="1"/>
    <row r="963" s="7" customFormat="1" ht="13.5" customHeight="1"/>
    <row r="964" s="7" customFormat="1" ht="13.5" customHeight="1"/>
    <row r="965" s="7" customFormat="1" ht="13.5" customHeight="1"/>
    <row r="966" s="7" customFormat="1" ht="13.5" customHeight="1"/>
    <row r="967" s="7" customFormat="1" ht="13.5" customHeight="1"/>
    <row r="968" s="7" customFormat="1" ht="13.5" customHeight="1"/>
    <row r="969" s="7" customFormat="1" ht="13.5" customHeight="1"/>
    <row r="970" s="7" customFormat="1" ht="13.5" customHeight="1"/>
    <row r="971" s="7" customFormat="1" ht="13.5" customHeight="1"/>
    <row r="972" s="7" customFormat="1" ht="13.5" customHeight="1"/>
    <row r="973" s="7" customFormat="1" ht="13.5" customHeight="1"/>
    <row r="974" s="7" customFormat="1" ht="13.5" customHeight="1"/>
    <row r="975" s="7" customFormat="1" ht="13.5" customHeight="1"/>
    <row r="976" s="7" customFormat="1" ht="13.5" customHeight="1"/>
    <row r="977" s="7" customFormat="1" ht="13.5" customHeight="1"/>
    <row r="978" s="7" customFormat="1" ht="13.5" customHeight="1"/>
    <row r="979" s="7" customFormat="1" ht="13.5" customHeight="1"/>
    <row r="980" s="7" customFormat="1" ht="13.5" customHeight="1"/>
    <row r="981" s="7" customFormat="1" ht="13.5" customHeight="1"/>
    <row r="982" s="7" customFormat="1" ht="13.5" customHeight="1"/>
    <row r="983" s="7" customFormat="1" ht="13.5" customHeight="1"/>
    <row r="984" s="7" customFormat="1" ht="13.5" customHeight="1"/>
    <row r="985" s="7" customFormat="1" ht="13.5" customHeight="1"/>
    <row r="986" s="7" customFormat="1" ht="13.5" customHeight="1"/>
    <row r="987" s="7" customFormat="1" ht="13.5" customHeight="1"/>
    <row r="988" s="7" customFormat="1" ht="13.5" customHeight="1"/>
    <row r="989" s="7" customFormat="1" ht="13.5" customHeight="1"/>
    <row r="990" s="7" customFormat="1" ht="13.5" customHeight="1"/>
    <row r="991" s="7" customFormat="1" ht="13.5" customHeight="1"/>
    <row r="992" s="7" customFormat="1" ht="13.5" customHeight="1"/>
    <row r="993" s="7" customFormat="1" ht="13.5" customHeight="1"/>
    <row r="994" s="7" customFormat="1" ht="13.5" customHeight="1"/>
    <row r="995" s="7" customFormat="1" ht="13.5" customHeight="1"/>
    <row r="996" s="7" customFormat="1" ht="13.5" customHeight="1"/>
    <row r="997" s="7" customFormat="1" ht="13.5" customHeight="1"/>
    <row r="998" s="7" customFormat="1" ht="13.5" customHeight="1"/>
    <row r="999" s="7" customFormat="1" ht="13.5" customHeight="1"/>
    <row r="1000" s="7" customFormat="1" ht="13.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997"/>
  <sheetViews>
    <sheetView showGridLines="0" topLeftCell="A46" workbookViewId="0">
      <selection activeCell="A53" sqref="A53:XFD57"/>
    </sheetView>
  </sheetViews>
  <sheetFormatPr defaultColWidth="12.6640625" defaultRowHeight="15" customHeight="1"/>
  <cols>
    <col min="1" max="1" width="21.4140625" style="7" customWidth="1"/>
    <col min="2" max="5" width="11.25" style="7" customWidth="1"/>
    <col min="6" max="9" width="10.25" style="7" customWidth="1"/>
    <col min="10" max="10" width="9.4140625" style="7" customWidth="1"/>
    <col min="11" max="12" width="10.9140625" style="7" customWidth="1"/>
    <col min="13" max="16" width="10.25" style="7" customWidth="1"/>
    <col min="17" max="20" width="11.25" style="7" customWidth="1"/>
    <col min="21" max="28" width="8.6640625" style="7" customWidth="1"/>
    <col min="29" max="16384" width="12.6640625" style="7"/>
  </cols>
  <sheetData>
    <row r="1" spans="1:47" s="373" customFormat="1" ht="13.5" customHeight="1">
      <c r="A1" s="454" t="s">
        <v>323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5"/>
      <c r="P1" s="226"/>
      <c r="Q1" s="226"/>
      <c r="R1" s="226"/>
      <c r="S1" s="226"/>
      <c r="T1" s="226"/>
    </row>
    <row r="2" spans="1:47" s="373" customFormat="1" ht="13.5" customHeight="1"/>
    <row r="3" spans="1:47" ht="25.5" customHeight="1">
      <c r="A3" s="82"/>
      <c r="B3" s="83" t="s">
        <v>324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86" t="s">
        <v>325</v>
      </c>
      <c r="N3" s="84"/>
      <c r="O3" s="84"/>
      <c r="P3" s="84"/>
      <c r="Q3" s="84"/>
      <c r="R3" s="84"/>
      <c r="S3" s="84"/>
      <c r="T3" s="84"/>
      <c r="U3" s="84"/>
      <c r="V3" s="84"/>
      <c r="W3" s="85"/>
      <c r="X3" s="87" t="s">
        <v>326</v>
      </c>
      <c r="Y3" s="88"/>
      <c r="Z3" s="87" t="s">
        <v>327</v>
      </c>
      <c r="AA3" s="89"/>
      <c r="AB3" s="89"/>
      <c r="AC3" s="89"/>
      <c r="AD3" s="89"/>
      <c r="AE3" s="89"/>
      <c r="AF3" s="89"/>
      <c r="AG3" s="89"/>
      <c r="AH3" s="89"/>
      <c r="AI3" s="89"/>
      <c r="AJ3" s="88"/>
      <c r="AK3" s="87" t="s">
        <v>328</v>
      </c>
      <c r="AL3" s="89"/>
      <c r="AM3" s="89"/>
      <c r="AN3" s="89"/>
      <c r="AO3" s="89"/>
      <c r="AP3" s="89"/>
      <c r="AQ3" s="89"/>
      <c r="AR3" s="89"/>
      <c r="AS3" s="89"/>
      <c r="AT3" s="89"/>
      <c r="AU3" s="88"/>
    </row>
    <row r="4" spans="1:47" ht="13.5" customHeight="1">
      <c r="A4" s="90" t="s">
        <v>329</v>
      </c>
      <c r="B4" s="91" t="s">
        <v>2</v>
      </c>
      <c r="C4" s="91" t="s">
        <v>3</v>
      </c>
      <c r="D4" s="91" t="s">
        <v>4</v>
      </c>
      <c r="E4" s="91" t="s">
        <v>5</v>
      </c>
      <c r="F4" s="91" t="s">
        <v>6</v>
      </c>
      <c r="G4" s="91" t="s">
        <v>7</v>
      </c>
      <c r="H4" s="91" t="s">
        <v>8</v>
      </c>
      <c r="I4" s="91" t="s">
        <v>9</v>
      </c>
      <c r="J4" s="91" t="s">
        <v>10</v>
      </c>
      <c r="K4" s="91" t="s">
        <v>11</v>
      </c>
      <c r="L4" s="91" t="s">
        <v>12</v>
      </c>
      <c r="M4" s="91" t="s">
        <v>2</v>
      </c>
      <c r="N4" s="91" t="s">
        <v>3</v>
      </c>
      <c r="O4" s="91" t="s">
        <v>4</v>
      </c>
      <c r="P4" s="91" t="s">
        <v>5</v>
      </c>
      <c r="Q4" s="91" t="s">
        <v>6</v>
      </c>
      <c r="R4" s="91" t="s">
        <v>7</v>
      </c>
      <c r="S4" s="91" t="s">
        <v>8</v>
      </c>
      <c r="T4" s="91" t="s">
        <v>9</v>
      </c>
      <c r="U4" s="91" t="s">
        <v>10</v>
      </c>
      <c r="V4" s="91" t="s">
        <v>11</v>
      </c>
      <c r="W4" s="91" t="s">
        <v>12</v>
      </c>
      <c r="X4" s="91" t="s">
        <v>10</v>
      </c>
      <c r="Y4" s="91" t="s">
        <v>56</v>
      </c>
      <c r="Z4" s="91" t="s">
        <v>2</v>
      </c>
      <c r="AA4" s="91" t="s">
        <v>3</v>
      </c>
      <c r="AB4" s="91" t="s">
        <v>4</v>
      </c>
      <c r="AC4" s="91" t="s">
        <v>5</v>
      </c>
      <c r="AD4" s="91" t="s">
        <v>6</v>
      </c>
      <c r="AE4" s="91" t="s">
        <v>7</v>
      </c>
      <c r="AF4" s="91" t="s">
        <v>8</v>
      </c>
      <c r="AG4" s="91" t="s">
        <v>9</v>
      </c>
      <c r="AH4" s="91" t="s">
        <v>10</v>
      </c>
      <c r="AI4" s="91" t="s">
        <v>11</v>
      </c>
      <c r="AJ4" s="91" t="s">
        <v>12</v>
      </c>
      <c r="AK4" s="91" t="s">
        <v>2</v>
      </c>
      <c r="AL4" s="91" t="s">
        <v>3</v>
      </c>
      <c r="AM4" s="91" t="s">
        <v>4</v>
      </c>
      <c r="AN4" s="91" t="s">
        <v>5</v>
      </c>
      <c r="AO4" s="91" t="s">
        <v>6</v>
      </c>
      <c r="AP4" s="91" t="s">
        <v>7</v>
      </c>
      <c r="AQ4" s="91" t="s">
        <v>8</v>
      </c>
      <c r="AR4" s="91" t="s">
        <v>9</v>
      </c>
      <c r="AS4" s="91" t="s">
        <v>10</v>
      </c>
      <c r="AT4" s="91" t="s">
        <v>11</v>
      </c>
      <c r="AU4" s="91" t="s">
        <v>12</v>
      </c>
    </row>
    <row r="5" spans="1:47" ht="13.5" customHeight="1">
      <c r="A5" s="92" t="s">
        <v>330</v>
      </c>
      <c r="B5" s="93">
        <v>5197.8900000000003</v>
      </c>
      <c r="C5" s="93">
        <v>5608.59</v>
      </c>
      <c r="D5" s="93">
        <v>8154</v>
      </c>
      <c r="E5" s="93">
        <v>8226.7999999999993</v>
      </c>
      <c r="F5" s="93">
        <v>7058</v>
      </c>
      <c r="G5" s="93">
        <v>7437.75</v>
      </c>
      <c r="H5" s="93">
        <v>7567.35</v>
      </c>
      <c r="I5" s="93">
        <v>7567.35</v>
      </c>
      <c r="J5" s="93">
        <v>7861.52</v>
      </c>
      <c r="K5" s="93">
        <v>7511.87</v>
      </c>
      <c r="L5" s="93">
        <v>5049.7</v>
      </c>
      <c r="M5" s="93">
        <v>722.83</v>
      </c>
      <c r="N5" s="93">
        <v>720.25</v>
      </c>
      <c r="O5" s="93">
        <v>867.05</v>
      </c>
      <c r="P5" s="93">
        <v>1599</v>
      </c>
      <c r="Q5" s="93">
        <v>2428.42</v>
      </c>
      <c r="R5" s="93">
        <v>2076.4</v>
      </c>
      <c r="S5" s="93">
        <v>1467.2</v>
      </c>
      <c r="T5" s="93">
        <v>1320.35</v>
      </c>
      <c r="U5" s="93">
        <v>1606.52</v>
      </c>
      <c r="V5" s="93">
        <v>2152.5</v>
      </c>
      <c r="W5" s="93">
        <v>1114.44</v>
      </c>
      <c r="X5" s="94">
        <v>13.43</v>
      </c>
      <c r="Y5" s="94"/>
      <c r="Z5" s="93">
        <v>2943.52</v>
      </c>
      <c r="AA5" s="93">
        <v>5553.99</v>
      </c>
      <c r="AB5" s="93">
        <v>3500</v>
      </c>
      <c r="AC5" s="93">
        <v>3877.22</v>
      </c>
      <c r="AD5" s="93">
        <v>3452.76</v>
      </c>
      <c r="AE5" s="93">
        <v>5252.45</v>
      </c>
      <c r="AF5" s="93">
        <v>3608.67</v>
      </c>
      <c r="AG5" s="93">
        <v>4814.5</v>
      </c>
      <c r="AH5" s="93">
        <v>5252.8</v>
      </c>
      <c r="AI5" s="93">
        <v>461.13</v>
      </c>
      <c r="AJ5" s="93">
        <v>5077.93</v>
      </c>
      <c r="AK5" s="93">
        <v>8864.24</v>
      </c>
      <c r="AL5" s="93">
        <v>11882.84</v>
      </c>
      <c r="AM5" s="93">
        <v>12521.05</v>
      </c>
      <c r="AN5" s="93">
        <v>13703.01</v>
      </c>
      <c r="AO5" s="93">
        <v>12939.18</v>
      </c>
      <c r="AP5" s="93">
        <v>14766.6</v>
      </c>
      <c r="AQ5" s="93">
        <v>12643.23</v>
      </c>
      <c r="AR5" s="93">
        <v>13702.21</v>
      </c>
      <c r="AS5" s="93">
        <v>14734.27</v>
      </c>
      <c r="AT5" s="93">
        <v>10126</v>
      </c>
      <c r="AU5" s="93">
        <v>11242.08</v>
      </c>
    </row>
    <row r="6" spans="1:47" ht="13.5" customHeight="1">
      <c r="A6" s="92" t="s">
        <v>331</v>
      </c>
      <c r="B6" s="94">
        <v>5125.7</v>
      </c>
      <c r="C6" s="94">
        <v>5530.69</v>
      </c>
      <c r="D6" s="94">
        <v>7248</v>
      </c>
      <c r="E6" s="94">
        <v>7536</v>
      </c>
      <c r="F6" s="94">
        <v>7786</v>
      </c>
      <c r="G6" s="94">
        <v>7659.3</v>
      </c>
      <c r="H6" s="93">
        <v>8265.59</v>
      </c>
      <c r="I6" s="93">
        <v>8265.59</v>
      </c>
      <c r="J6" s="93">
        <v>8584.1</v>
      </c>
      <c r="K6" s="93">
        <v>5387.04</v>
      </c>
      <c r="L6" s="93">
        <v>6812.14</v>
      </c>
      <c r="M6" s="94">
        <v>280.45</v>
      </c>
      <c r="N6" s="94">
        <v>404.48</v>
      </c>
      <c r="O6" s="94">
        <v>694.69</v>
      </c>
      <c r="P6" s="94">
        <v>1264.1400000000001</v>
      </c>
      <c r="Q6" s="94">
        <v>1410.64</v>
      </c>
      <c r="R6" s="94">
        <v>1164.1500000000001</v>
      </c>
      <c r="S6" s="93">
        <v>1237.99</v>
      </c>
      <c r="T6" s="93">
        <v>1433.8</v>
      </c>
      <c r="U6" s="93">
        <v>1450.85</v>
      </c>
      <c r="V6" s="93">
        <v>1785.85</v>
      </c>
      <c r="W6" s="94">
        <v>854.2</v>
      </c>
      <c r="X6" s="94"/>
      <c r="Y6" s="94"/>
      <c r="Z6" s="93">
        <v>248.62</v>
      </c>
      <c r="AA6" s="93">
        <v>330</v>
      </c>
      <c r="AB6" s="93">
        <v>833.37</v>
      </c>
      <c r="AC6" s="93">
        <v>303.11</v>
      </c>
      <c r="AD6" s="93">
        <v>325</v>
      </c>
      <c r="AE6" s="93">
        <v>365.64</v>
      </c>
      <c r="AF6" s="94">
        <v>302.69</v>
      </c>
      <c r="AG6" s="94">
        <v>315</v>
      </c>
      <c r="AH6" s="94">
        <v>600</v>
      </c>
      <c r="AI6" s="94">
        <v>367.77</v>
      </c>
      <c r="AJ6" s="94">
        <v>886.04</v>
      </c>
      <c r="AK6" s="93">
        <v>5654.76</v>
      </c>
      <c r="AL6" s="93">
        <v>6265.18</v>
      </c>
      <c r="AM6" s="93">
        <v>8776.06</v>
      </c>
      <c r="AN6" s="93">
        <v>9103.26</v>
      </c>
      <c r="AO6" s="93">
        <v>9521.64</v>
      </c>
      <c r="AP6" s="93">
        <v>9189.09</v>
      </c>
      <c r="AQ6" s="93">
        <v>9806.27</v>
      </c>
      <c r="AR6" s="93">
        <v>10014.379999999999</v>
      </c>
      <c r="AS6" s="93">
        <v>10634.96</v>
      </c>
      <c r="AT6" s="93">
        <v>7541</v>
      </c>
      <c r="AU6" s="94">
        <v>8552.3799999999992</v>
      </c>
    </row>
    <row r="7" spans="1:47" ht="13.5" customHeight="1">
      <c r="A7" s="92" t="s">
        <v>332</v>
      </c>
      <c r="B7" s="93">
        <v>7441.22</v>
      </c>
      <c r="C7" s="93">
        <v>8029.17</v>
      </c>
      <c r="D7" s="93">
        <v>9950.9</v>
      </c>
      <c r="E7" s="93">
        <v>10833</v>
      </c>
      <c r="F7" s="93">
        <v>10445</v>
      </c>
      <c r="G7" s="93">
        <v>10602.75</v>
      </c>
      <c r="H7" s="93">
        <v>11641.59</v>
      </c>
      <c r="I7" s="93">
        <v>11641.59</v>
      </c>
      <c r="J7" s="93">
        <v>12109.2</v>
      </c>
      <c r="K7" s="93">
        <v>5449.27</v>
      </c>
      <c r="L7" s="93">
        <v>5617.63</v>
      </c>
      <c r="M7" s="93">
        <v>393.22</v>
      </c>
      <c r="N7" s="93">
        <v>549.6</v>
      </c>
      <c r="O7" s="93">
        <v>900.16</v>
      </c>
      <c r="P7" s="93">
        <v>1629.71</v>
      </c>
      <c r="Q7" s="93">
        <v>2013.74</v>
      </c>
      <c r="R7" s="93">
        <v>1807.24</v>
      </c>
      <c r="S7" s="93">
        <v>2307.31</v>
      </c>
      <c r="T7" s="93">
        <v>2580.2800000000002</v>
      </c>
      <c r="U7" s="93">
        <v>2072.62</v>
      </c>
      <c r="V7" s="93">
        <v>177.25</v>
      </c>
      <c r="W7" s="93">
        <v>1872.95</v>
      </c>
      <c r="X7" s="94"/>
      <c r="Y7" s="94"/>
      <c r="Z7" s="93">
        <v>519.08000000000004</v>
      </c>
      <c r="AA7" s="93">
        <v>1585.88</v>
      </c>
      <c r="AB7" s="93">
        <v>929.66</v>
      </c>
      <c r="AC7" s="93">
        <v>1345.07</v>
      </c>
      <c r="AD7" s="93">
        <v>1000</v>
      </c>
      <c r="AE7" s="93">
        <v>1100</v>
      </c>
      <c r="AF7" s="94">
        <v>827.5</v>
      </c>
      <c r="AG7" s="93">
        <v>1467.5</v>
      </c>
      <c r="AH7" s="93">
        <v>1788.63</v>
      </c>
      <c r="AI7" s="93">
        <v>1148.79</v>
      </c>
      <c r="AJ7" s="93">
        <v>2375.71</v>
      </c>
      <c r="AK7" s="93">
        <v>8353.51</v>
      </c>
      <c r="AL7" s="93">
        <v>10164.65</v>
      </c>
      <c r="AM7" s="93">
        <v>11780.72</v>
      </c>
      <c r="AN7" s="93">
        <v>13807.77</v>
      </c>
      <c r="AO7" s="93">
        <v>13458.74</v>
      </c>
      <c r="AP7" s="93">
        <v>13509.99</v>
      </c>
      <c r="AQ7" s="93">
        <v>14776.4</v>
      </c>
      <c r="AR7" s="93">
        <v>15689.37</v>
      </c>
      <c r="AS7" s="93">
        <v>15970.46</v>
      </c>
      <c r="AT7" s="93">
        <v>6775</v>
      </c>
      <c r="AU7" s="93">
        <v>9866.2900000000009</v>
      </c>
    </row>
    <row r="8" spans="1:47" ht="13.5" customHeight="1">
      <c r="A8" s="92" t="s">
        <v>333</v>
      </c>
      <c r="B8" s="94">
        <v>3984.57</v>
      </c>
      <c r="C8" s="94">
        <v>4299.3999999999996</v>
      </c>
      <c r="D8" s="94">
        <v>5345.4</v>
      </c>
      <c r="E8" s="94">
        <v>5557.8</v>
      </c>
      <c r="F8" s="94">
        <v>5855</v>
      </c>
      <c r="G8" s="94">
        <v>5602.05</v>
      </c>
      <c r="H8" s="93">
        <v>6528.41</v>
      </c>
      <c r="I8" s="93">
        <v>6528.41</v>
      </c>
      <c r="J8" s="93">
        <v>6790.7</v>
      </c>
      <c r="K8" s="93">
        <v>4399.51</v>
      </c>
      <c r="L8" s="93">
        <v>7862.03</v>
      </c>
      <c r="M8" s="94">
        <v>171.3</v>
      </c>
      <c r="N8" s="94">
        <v>321.55</v>
      </c>
      <c r="O8" s="94">
        <v>672.81</v>
      </c>
      <c r="P8" s="94">
        <v>939.43</v>
      </c>
      <c r="Q8" s="94">
        <v>838.06</v>
      </c>
      <c r="R8" s="94">
        <v>919.77</v>
      </c>
      <c r="S8" s="94">
        <v>696.86</v>
      </c>
      <c r="T8" s="94">
        <v>355.35</v>
      </c>
      <c r="U8" s="94">
        <v>481.53</v>
      </c>
      <c r="V8" s="94">
        <v>566.23</v>
      </c>
      <c r="W8" s="94">
        <v>501.95</v>
      </c>
      <c r="X8" s="94"/>
      <c r="Y8" s="94"/>
      <c r="Z8" s="93">
        <v>28.41</v>
      </c>
      <c r="AA8" s="93">
        <v>60</v>
      </c>
      <c r="AB8" s="93">
        <v>60</v>
      </c>
      <c r="AC8" s="93">
        <v>60</v>
      </c>
      <c r="AD8" s="93">
        <v>66</v>
      </c>
      <c r="AE8" s="93">
        <v>72.599999999999994</v>
      </c>
      <c r="AF8" s="94">
        <v>72.260000000000005</v>
      </c>
      <c r="AG8" s="94">
        <v>87.85</v>
      </c>
      <c r="AH8" s="94">
        <v>96.63</v>
      </c>
      <c r="AI8" s="94">
        <v>505.98</v>
      </c>
      <c r="AJ8" s="94">
        <v>200.42</v>
      </c>
      <c r="AK8" s="93">
        <v>4184.2700000000004</v>
      </c>
      <c r="AL8" s="93">
        <v>4680.96</v>
      </c>
      <c r="AM8" s="93">
        <v>6078.21</v>
      </c>
      <c r="AN8" s="93">
        <v>6557.23</v>
      </c>
      <c r="AO8" s="93">
        <v>6759.06</v>
      </c>
      <c r="AP8" s="93">
        <v>6594.42</v>
      </c>
      <c r="AQ8" s="93">
        <v>7297.53</v>
      </c>
      <c r="AR8" s="93">
        <v>6971.61</v>
      </c>
      <c r="AS8" s="93">
        <v>7368.86</v>
      </c>
      <c r="AT8" s="93">
        <v>5472</v>
      </c>
      <c r="AU8" s="94">
        <v>8564.39</v>
      </c>
    </row>
    <row r="9" spans="1:47" ht="13.5" customHeight="1">
      <c r="A9" s="92" t="s">
        <v>334</v>
      </c>
      <c r="B9" s="94">
        <v>2051.88</v>
      </c>
      <c r="C9" s="94">
        <v>2214.0100000000002</v>
      </c>
      <c r="D9" s="94">
        <v>2476.4</v>
      </c>
      <c r="E9" s="94">
        <v>3548.2</v>
      </c>
      <c r="F9" s="94">
        <v>2595</v>
      </c>
      <c r="G9" s="94">
        <v>2753.55</v>
      </c>
      <c r="H9" s="93">
        <v>3105.65</v>
      </c>
      <c r="I9" s="93">
        <v>3105.65</v>
      </c>
      <c r="J9" s="93">
        <v>3237.35</v>
      </c>
      <c r="K9" s="93">
        <v>9597.2199999999993</v>
      </c>
      <c r="L9" s="93">
        <v>7847.76</v>
      </c>
      <c r="M9" s="94">
        <v>140.94</v>
      </c>
      <c r="N9" s="94">
        <v>265.97000000000003</v>
      </c>
      <c r="O9" s="94">
        <v>432.51</v>
      </c>
      <c r="P9" s="94">
        <v>740.18</v>
      </c>
      <c r="Q9" s="94">
        <v>676.5</v>
      </c>
      <c r="R9" s="94">
        <v>770.2</v>
      </c>
      <c r="S9" s="94">
        <v>579.12</v>
      </c>
      <c r="T9" s="94">
        <v>371.56</v>
      </c>
      <c r="U9" s="94">
        <v>289.07</v>
      </c>
      <c r="V9" s="94">
        <v>881.72</v>
      </c>
      <c r="W9" s="94">
        <v>436.65</v>
      </c>
      <c r="X9" s="94"/>
      <c r="Y9" s="94"/>
      <c r="Z9" s="93">
        <v>57.32</v>
      </c>
      <c r="AA9" s="93">
        <v>100</v>
      </c>
      <c r="AB9" s="93">
        <v>90</v>
      </c>
      <c r="AC9" s="93">
        <v>70</v>
      </c>
      <c r="AD9" s="93">
        <v>100</v>
      </c>
      <c r="AE9" s="93">
        <v>100</v>
      </c>
      <c r="AF9" s="94">
        <v>127</v>
      </c>
      <c r="AG9" s="94">
        <v>120</v>
      </c>
      <c r="AH9" s="94">
        <v>350</v>
      </c>
      <c r="AI9" s="94">
        <v>367.49</v>
      </c>
      <c r="AJ9" s="94">
        <v>280</v>
      </c>
      <c r="AK9" s="93">
        <v>2250.15</v>
      </c>
      <c r="AL9" s="93">
        <v>2579.9699999999998</v>
      </c>
      <c r="AM9" s="93">
        <v>2998.91</v>
      </c>
      <c r="AN9" s="93">
        <v>4358.38</v>
      </c>
      <c r="AO9" s="93">
        <v>3371.5</v>
      </c>
      <c r="AP9" s="93">
        <v>3623.75</v>
      </c>
      <c r="AQ9" s="93">
        <v>3811.76</v>
      </c>
      <c r="AR9" s="93">
        <v>3597.21</v>
      </c>
      <c r="AS9" s="93">
        <v>3876.42</v>
      </c>
      <c r="AT9" s="93">
        <v>10846</v>
      </c>
      <c r="AU9" s="94">
        <v>8564.4</v>
      </c>
    </row>
    <row r="10" spans="1:47" ht="13.5" customHeight="1">
      <c r="A10" s="92" t="s">
        <v>335</v>
      </c>
      <c r="B10" s="94">
        <v>3309.57</v>
      </c>
      <c r="C10" s="94">
        <v>3571.07</v>
      </c>
      <c r="D10" s="94">
        <v>3895.8</v>
      </c>
      <c r="E10" s="94">
        <v>4050.6</v>
      </c>
      <c r="F10" s="94">
        <v>4241</v>
      </c>
      <c r="G10" s="94">
        <v>4399.3500000000004</v>
      </c>
      <c r="H10" s="93">
        <v>4842.17</v>
      </c>
      <c r="I10" s="93">
        <v>4842.17</v>
      </c>
      <c r="J10" s="93">
        <v>5040.43</v>
      </c>
      <c r="K10" s="93">
        <v>6824.72</v>
      </c>
      <c r="L10" s="93">
        <v>11688.35</v>
      </c>
      <c r="M10" s="94">
        <v>186.54</v>
      </c>
      <c r="N10" s="94">
        <v>238.34</v>
      </c>
      <c r="O10" s="94">
        <v>488.7</v>
      </c>
      <c r="P10" s="94">
        <v>1121.01</v>
      </c>
      <c r="Q10" s="94">
        <v>1047.55</v>
      </c>
      <c r="R10" s="94">
        <v>1120.24</v>
      </c>
      <c r="S10" s="93">
        <v>1532.98</v>
      </c>
      <c r="T10" s="93">
        <v>1145.5899999999999</v>
      </c>
      <c r="U10" s="93">
        <v>1365.2</v>
      </c>
      <c r="V10" s="93">
        <v>1374.03</v>
      </c>
      <c r="W10" s="93">
        <v>1091.23</v>
      </c>
      <c r="X10" s="94"/>
      <c r="Y10" s="94"/>
      <c r="Z10" s="93">
        <v>172.77</v>
      </c>
      <c r="AA10" s="93">
        <v>355.59</v>
      </c>
      <c r="AB10" s="93">
        <v>338.47</v>
      </c>
      <c r="AC10" s="93">
        <v>300</v>
      </c>
      <c r="AD10" s="93">
        <v>320</v>
      </c>
      <c r="AE10" s="93">
        <v>363</v>
      </c>
      <c r="AF10" s="94">
        <v>315.58</v>
      </c>
      <c r="AG10" s="94">
        <v>400</v>
      </c>
      <c r="AH10" s="94">
        <v>626.67999999999995</v>
      </c>
      <c r="AI10" s="94">
        <v>916.99</v>
      </c>
      <c r="AJ10" s="94">
        <v>949.6</v>
      </c>
      <c r="AK10" s="93">
        <v>3668.88</v>
      </c>
      <c r="AL10" s="93">
        <v>4165</v>
      </c>
      <c r="AM10" s="93">
        <v>4722.96</v>
      </c>
      <c r="AN10" s="93">
        <v>5471.61</v>
      </c>
      <c r="AO10" s="93">
        <v>5608.55</v>
      </c>
      <c r="AP10" s="93">
        <v>5882.59</v>
      </c>
      <c r="AQ10" s="93">
        <v>6690.73</v>
      </c>
      <c r="AR10" s="93">
        <v>6387.77</v>
      </c>
      <c r="AS10" s="93">
        <v>7032.31</v>
      </c>
      <c r="AT10" s="93">
        <v>9116</v>
      </c>
      <c r="AU10" s="94">
        <v>13729.18</v>
      </c>
    </row>
    <row r="11" spans="1:47" ht="13.5" customHeight="1">
      <c r="A11" s="92" t="s">
        <v>336</v>
      </c>
      <c r="B11" s="94">
        <v>5771.69</v>
      </c>
      <c r="C11" s="94">
        <v>6227.73</v>
      </c>
      <c r="D11" s="94">
        <v>6659.1</v>
      </c>
      <c r="E11" s="94">
        <v>6939.4</v>
      </c>
      <c r="F11" s="94">
        <v>7026</v>
      </c>
      <c r="G11" s="94">
        <v>7026.3</v>
      </c>
      <c r="H11" s="93">
        <v>7927.21</v>
      </c>
      <c r="I11" s="93">
        <v>7927.21</v>
      </c>
      <c r="J11" s="93">
        <v>8248.75</v>
      </c>
      <c r="K11" s="93">
        <v>8290.4500000000007</v>
      </c>
      <c r="L11" s="93">
        <v>8658.26</v>
      </c>
      <c r="M11" s="94">
        <v>593.91999999999996</v>
      </c>
      <c r="N11" s="94">
        <v>636.79</v>
      </c>
      <c r="O11" s="94">
        <v>969.82</v>
      </c>
      <c r="P11" s="94">
        <v>2329.34</v>
      </c>
      <c r="Q11" s="94">
        <v>1628.08</v>
      </c>
      <c r="R11" s="94">
        <v>1651.83</v>
      </c>
      <c r="S11" s="93">
        <v>1241.03</v>
      </c>
      <c r="T11" s="94">
        <v>761.87</v>
      </c>
      <c r="U11" s="93">
        <v>1234.6199999999999</v>
      </c>
      <c r="V11" s="93">
        <v>1575.4</v>
      </c>
      <c r="W11" s="94">
        <v>554.46</v>
      </c>
      <c r="X11" s="94"/>
      <c r="Y11" s="94"/>
      <c r="Z11" s="93">
        <v>105.94</v>
      </c>
      <c r="AA11" s="93">
        <v>350</v>
      </c>
      <c r="AB11" s="93">
        <v>250</v>
      </c>
      <c r="AC11" s="93">
        <v>250</v>
      </c>
      <c r="AD11" s="93">
        <v>150</v>
      </c>
      <c r="AE11" s="93">
        <v>150</v>
      </c>
      <c r="AF11" s="94">
        <v>65.62</v>
      </c>
      <c r="AG11" s="94">
        <v>116.4</v>
      </c>
      <c r="AH11" s="94">
        <v>230</v>
      </c>
      <c r="AI11" s="94">
        <v>478.87</v>
      </c>
      <c r="AJ11" s="94">
        <v>450</v>
      </c>
      <c r="AK11" s="93">
        <v>6471.56</v>
      </c>
      <c r="AL11" s="93">
        <v>7214.52</v>
      </c>
      <c r="AM11" s="93">
        <v>7878.92</v>
      </c>
      <c r="AN11" s="93">
        <v>9518.74</v>
      </c>
      <c r="AO11" s="93">
        <v>8804.08</v>
      </c>
      <c r="AP11" s="93">
        <v>8828.1299999999992</v>
      </c>
      <c r="AQ11" s="93">
        <v>9233.86</v>
      </c>
      <c r="AR11" s="93">
        <v>8805.48</v>
      </c>
      <c r="AS11" s="93">
        <v>9713.3700000000008</v>
      </c>
      <c r="AT11" s="93">
        <v>10345</v>
      </c>
      <c r="AU11" s="94">
        <v>9662.7199999999993</v>
      </c>
    </row>
    <row r="12" spans="1:47" ht="13.5" customHeight="1">
      <c r="A12" s="92" t="s">
        <v>337</v>
      </c>
      <c r="B12" s="94">
        <v>7232.74</v>
      </c>
      <c r="C12" s="94">
        <v>7804.22</v>
      </c>
      <c r="D12" s="94">
        <v>8138.9</v>
      </c>
      <c r="E12" s="94">
        <v>8478</v>
      </c>
      <c r="F12" s="94">
        <v>8546</v>
      </c>
      <c r="G12" s="94">
        <v>8545.5</v>
      </c>
      <c r="H12" s="93">
        <v>9474.73</v>
      </c>
      <c r="I12" s="93">
        <v>9474.73</v>
      </c>
      <c r="J12" s="93">
        <v>9853.66</v>
      </c>
      <c r="K12" s="93">
        <v>9902.7999999999993</v>
      </c>
      <c r="L12" s="93">
        <v>5587.47</v>
      </c>
      <c r="M12" s="94">
        <v>253.34</v>
      </c>
      <c r="N12" s="94">
        <v>343.45</v>
      </c>
      <c r="O12" s="94">
        <v>801.28</v>
      </c>
      <c r="P12" s="94">
        <v>2001.63</v>
      </c>
      <c r="Q12" s="94">
        <v>1125.1300000000001</v>
      </c>
      <c r="R12" s="94">
        <v>1288.48</v>
      </c>
      <c r="S12" s="93">
        <v>1313.36</v>
      </c>
      <c r="T12" s="93">
        <v>1125.81</v>
      </c>
      <c r="U12" s="93">
        <v>1185.02</v>
      </c>
      <c r="V12" s="93">
        <v>1938.87</v>
      </c>
      <c r="W12" s="93">
        <v>1191.0899999999999</v>
      </c>
      <c r="X12" s="94"/>
      <c r="Y12" s="94"/>
      <c r="Z12" s="93">
        <v>81.78</v>
      </c>
      <c r="AA12" s="93">
        <v>230.12</v>
      </c>
      <c r="AB12" s="93">
        <v>200</v>
      </c>
      <c r="AC12" s="93">
        <v>200</v>
      </c>
      <c r="AD12" s="93">
        <v>150</v>
      </c>
      <c r="AE12" s="93"/>
      <c r="AF12" s="94">
        <v>52.42</v>
      </c>
      <c r="AG12" s="94">
        <v>100</v>
      </c>
      <c r="AH12" s="94">
        <v>200</v>
      </c>
      <c r="AI12" s="94">
        <v>1490.38</v>
      </c>
      <c r="AJ12" s="94">
        <v>350</v>
      </c>
      <c r="AK12" s="93">
        <v>7567.86</v>
      </c>
      <c r="AL12" s="93">
        <v>8377.7900000000009</v>
      </c>
      <c r="AM12" s="93">
        <v>9140.18</v>
      </c>
      <c r="AN12" s="93">
        <v>10679.63</v>
      </c>
      <c r="AO12" s="93">
        <v>9821.1299999999992</v>
      </c>
      <c r="AP12" s="93">
        <v>9833.98</v>
      </c>
      <c r="AQ12" s="93">
        <v>10840.5</v>
      </c>
      <c r="AR12" s="93">
        <v>10700.53</v>
      </c>
      <c r="AS12" s="93">
        <v>11238.68</v>
      </c>
      <c r="AT12" s="93">
        <v>13332</v>
      </c>
      <c r="AU12" s="94">
        <v>7128.56</v>
      </c>
    </row>
    <row r="13" spans="1:47" ht="13.5" customHeight="1">
      <c r="A13" s="92" t="s">
        <v>338</v>
      </c>
      <c r="B13" s="94">
        <v>8955.7000000000007</v>
      </c>
      <c r="C13" s="94">
        <v>9663.32</v>
      </c>
      <c r="D13" s="94">
        <v>9739.5</v>
      </c>
      <c r="E13" s="94">
        <v>10142.200000000001</v>
      </c>
      <c r="F13" s="94">
        <v>10223</v>
      </c>
      <c r="G13" s="94">
        <v>10222.950000000001</v>
      </c>
      <c r="H13" s="93">
        <v>11190.38</v>
      </c>
      <c r="I13" s="93">
        <v>11190.38</v>
      </c>
      <c r="J13" s="93">
        <v>11633.19</v>
      </c>
      <c r="K13" s="93">
        <v>7597.15</v>
      </c>
      <c r="L13" s="93">
        <v>6926.12</v>
      </c>
      <c r="M13" s="94">
        <v>279.83999999999997</v>
      </c>
      <c r="N13" s="94">
        <v>364.87</v>
      </c>
      <c r="O13" s="94">
        <v>815.81</v>
      </c>
      <c r="P13" s="94">
        <v>1040.9000000000001</v>
      </c>
      <c r="Q13" s="94">
        <v>1063.2</v>
      </c>
      <c r="R13" s="94">
        <v>1158.45</v>
      </c>
      <c r="S13" s="94">
        <v>760.72</v>
      </c>
      <c r="T13" s="94">
        <v>334.34</v>
      </c>
      <c r="U13" s="94">
        <v>408.32</v>
      </c>
      <c r="V13" s="94">
        <v>595.1</v>
      </c>
      <c r="W13" s="94">
        <v>601.46</v>
      </c>
      <c r="X13" s="94"/>
      <c r="Y13" s="94"/>
      <c r="Z13" s="93">
        <v>88.23</v>
      </c>
      <c r="AA13" s="93">
        <v>265.64</v>
      </c>
      <c r="AB13" s="93">
        <v>231</v>
      </c>
      <c r="AC13" s="93">
        <v>169.79</v>
      </c>
      <c r="AD13" s="93">
        <v>200</v>
      </c>
      <c r="AE13" s="93"/>
      <c r="AF13" s="94">
        <v>132.9</v>
      </c>
      <c r="AG13" s="94">
        <v>255.44</v>
      </c>
      <c r="AH13" s="94">
        <v>336.53</v>
      </c>
      <c r="AI13" s="94">
        <v>216.15</v>
      </c>
      <c r="AJ13" s="94">
        <v>682.53</v>
      </c>
      <c r="AK13" s="93">
        <v>9323.7800000000007</v>
      </c>
      <c r="AL13" s="93">
        <v>10293.83</v>
      </c>
      <c r="AM13" s="93">
        <v>10786.31</v>
      </c>
      <c r="AN13" s="93">
        <v>11352.88</v>
      </c>
      <c r="AO13" s="93">
        <v>11486.2</v>
      </c>
      <c r="AP13" s="93">
        <v>11381.4</v>
      </c>
      <c r="AQ13" s="93">
        <v>12084</v>
      </c>
      <c r="AR13" s="93">
        <v>11780.15</v>
      </c>
      <c r="AS13" s="93">
        <v>12378.05</v>
      </c>
      <c r="AT13" s="93">
        <v>8408</v>
      </c>
      <c r="AU13" s="94">
        <v>8210.11</v>
      </c>
    </row>
    <row r="14" spans="1:47" ht="13.5" customHeight="1">
      <c r="A14" s="92" t="s">
        <v>339</v>
      </c>
      <c r="B14" s="94">
        <v>5189.46</v>
      </c>
      <c r="C14" s="94">
        <v>5599.5</v>
      </c>
      <c r="D14" s="94">
        <v>6583.6</v>
      </c>
      <c r="E14" s="94">
        <v>7002.2</v>
      </c>
      <c r="F14" s="94">
        <v>6773</v>
      </c>
      <c r="G14" s="94">
        <v>6868.05</v>
      </c>
      <c r="H14" s="93">
        <v>7277</v>
      </c>
      <c r="I14" s="93">
        <v>7277</v>
      </c>
      <c r="J14" s="93">
        <v>7560.4</v>
      </c>
      <c r="K14" s="93">
        <v>9944.34</v>
      </c>
      <c r="L14" s="93">
        <v>5878.28</v>
      </c>
      <c r="M14" s="94">
        <v>187.8</v>
      </c>
      <c r="N14" s="94">
        <v>256.05</v>
      </c>
      <c r="O14" s="94">
        <v>668.84</v>
      </c>
      <c r="P14" s="94">
        <v>868.34</v>
      </c>
      <c r="Q14" s="94">
        <v>873.98</v>
      </c>
      <c r="R14" s="94">
        <v>1070.97</v>
      </c>
      <c r="S14" s="94">
        <v>906.61</v>
      </c>
      <c r="T14" s="94">
        <v>706.57</v>
      </c>
      <c r="U14" s="94">
        <v>754.94</v>
      </c>
      <c r="V14" s="93">
        <v>1017.61</v>
      </c>
      <c r="W14" s="93">
        <v>1021.93</v>
      </c>
      <c r="X14" s="94"/>
      <c r="Y14" s="94"/>
      <c r="Z14" s="93">
        <v>111.94</v>
      </c>
      <c r="AA14" s="93">
        <v>125</v>
      </c>
      <c r="AB14" s="93">
        <v>130</v>
      </c>
      <c r="AC14" s="93">
        <v>140</v>
      </c>
      <c r="AD14" s="93">
        <v>150</v>
      </c>
      <c r="AE14" s="93">
        <v>150</v>
      </c>
      <c r="AF14" s="94">
        <v>99.56</v>
      </c>
      <c r="AG14" s="94">
        <v>170</v>
      </c>
      <c r="AH14" s="94">
        <v>160</v>
      </c>
      <c r="AI14" s="94">
        <v>907.54</v>
      </c>
      <c r="AJ14" s="94">
        <v>323.5</v>
      </c>
      <c r="AK14" s="93">
        <v>5489.2</v>
      </c>
      <c r="AL14" s="93">
        <v>5980.55</v>
      </c>
      <c r="AM14" s="93">
        <v>7382.44</v>
      </c>
      <c r="AN14" s="93">
        <v>8010.54</v>
      </c>
      <c r="AO14" s="93">
        <v>7796.98</v>
      </c>
      <c r="AP14" s="93">
        <v>8089.02</v>
      </c>
      <c r="AQ14" s="93">
        <v>8283.18</v>
      </c>
      <c r="AR14" s="93">
        <v>8153.58</v>
      </c>
      <c r="AS14" s="93">
        <v>8475.34</v>
      </c>
      <c r="AT14" s="93">
        <v>11869</v>
      </c>
      <c r="AU14" s="94">
        <v>7223.71</v>
      </c>
    </row>
    <row r="15" spans="1:47" ht="13.5" customHeight="1">
      <c r="A15" s="92" t="s">
        <v>340</v>
      </c>
      <c r="B15" s="94">
        <v>3056.57</v>
      </c>
      <c r="C15" s="94">
        <v>3298.07</v>
      </c>
      <c r="D15" s="94">
        <v>3775</v>
      </c>
      <c r="E15" s="94">
        <v>3925</v>
      </c>
      <c r="F15" s="94">
        <v>4241</v>
      </c>
      <c r="G15" s="94">
        <v>4177.8</v>
      </c>
      <c r="H15" s="93">
        <v>4710.3900000000003</v>
      </c>
      <c r="I15" s="93">
        <v>4710.3900000000003</v>
      </c>
      <c r="J15" s="93">
        <v>4899.04</v>
      </c>
      <c r="K15" s="93">
        <v>4923.51</v>
      </c>
      <c r="L15" s="93">
        <v>12197.15</v>
      </c>
      <c r="M15" s="94">
        <v>161.12</v>
      </c>
      <c r="N15" s="94">
        <v>198.35</v>
      </c>
      <c r="O15" s="94">
        <v>505.24</v>
      </c>
      <c r="P15" s="94">
        <v>810.57</v>
      </c>
      <c r="Q15" s="94">
        <v>790.66</v>
      </c>
      <c r="R15" s="94">
        <v>942.48</v>
      </c>
      <c r="S15" s="94">
        <v>813.49</v>
      </c>
      <c r="T15" s="94">
        <v>392.28</v>
      </c>
      <c r="U15" s="94">
        <v>375.37</v>
      </c>
      <c r="V15" s="94">
        <v>627.94000000000005</v>
      </c>
      <c r="W15" s="94">
        <v>386.25</v>
      </c>
      <c r="X15" s="94"/>
      <c r="Y15" s="94"/>
      <c r="Z15" s="93">
        <v>110.11</v>
      </c>
      <c r="AA15" s="93">
        <v>250</v>
      </c>
      <c r="AB15" s="93">
        <v>182.86</v>
      </c>
      <c r="AC15" s="93">
        <v>150.86000000000001</v>
      </c>
      <c r="AD15" s="93">
        <v>155.86000000000001</v>
      </c>
      <c r="AE15" s="93">
        <v>113.69</v>
      </c>
      <c r="AF15" s="94">
        <v>107.83</v>
      </c>
      <c r="AG15" s="94">
        <v>113.69</v>
      </c>
      <c r="AH15" s="94">
        <v>271.20999999999998</v>
      </c>
      <c r="AI15" s="94">
        <v>1437.93</v>
      </c>
      <c r="AJ15" s="94">
        <v>375.21</v>
      </c>
      <c r="AK15" s="93">
        <v>3327.8</v>
      </c>
      <c r="AL15" s="93">
        <v>3746.42</v>
      </c>
      <c r="AM15" s="93">
        <v>4463.1099999999997</v>
      </c>
      <c r="AN15" s="93">
        <v>4886.43</v>
      </c>
      <c r="AO15" s="93">
        <v>5187.5200000000004</v>
      </c>
      <c r="AP15" s="93">
        <v>5233.96</v>
      </c>
      <c r="AQ15" s="93">
        <v>5631.72</v>
      </c>
      <c r="AR15" s="93">
        <v>5216.3500000000004</v>
      </c>
      <c r="AS15" s="93">
        <v>5545.62</v>
      </c>
      <c r="AT15" s="93">
        <v>6989</v>
      </c>
      <c r="AU15" s="94">
        <v>12958.62</v>
      </c>
    </row>
    <row r="16" spans="1:47" ht="13.5" customHeight="1">
      <c r="A16" s="92" t="s">
        <v>341</v>
      </c>
      <c r="B16" s="93">
        <v>6493.6</v>
      </c>
      <c r="C16" s="93">
        <v>7006.68</v>
      </c>
      <c r="D16" s="93">
        <v>7701</v>
      </c>
      <c r="E16" s="93">
        <v>8007</v>
      </c>
      <c r="F16" s="93">
        <v>8039</v>
      </c>
      <c r="G16" s="93">
        <v>8102.4</v>
      </c>
      <c r="H16" s="93">
        <v>9493.86</v>
      </c>
      <c r="I16" s="93">
        <v>9493.86</v>
      </c>
      <c r="J16" s="93">
        <v>9892.6299999999992</v>
      </c>
      <c r="K16" s="93">
        <v>8385.08</v>
      </c>
      <c r="L16" s="93">
        <v>7899.31</v>
      </c>
      <c r="M16" s="93">
        <v>577.95000000000005</v>
      </c>
      <c r="N16" s="93">
        <v>2416.5700000000002</v>
      </c>
      <c r="O16" s="93">
        <v>4928.99</v>
      </c>
      <c r="P16" s="93">
        <v>1269.45</v>
      </c>
      <c r="Q16" s="93">
        <v>1354.34</v>
      </c>
      <c r="R16" s="93">
        <v>1178.05</v>
      </c>
      <c r="S16" s="94">
        <v>931.64</v>
      </c>
      <c r="T16" s="94">
        <v>436.73</v>
      </c>
      <c r="U16" s="93">
        <v>1120.4000000000001</v>
      </c>
      <c r="V16" s="93">
        <v>1016.17</v>
      </c>
      <c r="W16" s="94">
        <v>456.13</v>
      </c>
      <c r="X16" s="94"/>
      <c r="Y16" s="94"/>
      <c r="Z16" s="93">
        <v>548.29</v>
      </c>
      <c r="AA16" s="93">
        <v>713.24</v>
      </c>
      <c r="AB16" s="93">
        <v>801.78</v>
      </c>
      <c r="AC16" s="93">
        <v>983.87</v>
      </c>
      <c r="AD16" s="93">
        <v>825</v>
      </c>
      <c r="AE16" s="93">
        <v>600</v>
      </c>
      <c r="AF16" s="94">
        <v>385.39</v>
      </c>
      <c r="AG16" s="94">
        <v>600</v>
      </c>
      <c r="AH16" s="94">
        <v>866</v>
      </c>
      <c r="AI16" s="93">
        <v>1079.6500000000001</v>
      </c>
      <c r="AJ16" s="93">
        <v>1821.5</v>
      </c>
      <c r="AK16" s="93">
        <v>7619.84</v>
      </c>
      <c r="AL16" s="93">
        <v>10136.48</v>
      </c>
      <c r="AM16" s="93">
        <v>13431.76</v>
      </c>
      <c r="AN16" s="93">
        <v>10260.32</v>
      </c>
      <c r="AO16" s="93">
        <v>10218.34</v>
      </c>
      <c r="AP16" s="93">
        <v>9880.4500000000007</v>
      </c>
      <c r="AQ16" s="93">
        <v>10810.89</v>
      </c>
      <c r="AR16" s="93">
        <v>10530.59</v>
      </c>
      <c r="AS16" s="93">
        <v>11879.02</v>
      </c>
      <c r="AT16" s="93">
        <v>10481</v>
      </c>
      <c r="AU16" s="93">
        <v>10176.93</v>
      </c>
    </row>
    <row r="17" spans="1:47" ht="13.5" customHeight="1">
      <c r="A17" s="92" t="s">
        <v>342</v>
      </c>
      <c r="B17" s="94">
        <v>3137.57</v>
      </c>
      <c r="C17" s="94">
        <v>3385.47</v>
      </c>
      <c r="D17" s="94">
        <v>3684.4</v>
      </c>
      <c r="E17" s="94">
        <v>3642.4</v>
      </c>
      <c r="F17" s="94">
        <v>3925</v>
      </c>
      <c r="G17" s="94">
        <v>3861.3</v>
      </c>
      <c r="H17" s="93">
        <v>4214.2</v>
      </c>
      <c r="I17" s="93">
        <v>4214.2</v>
      </c>
      <c r="J17" s="93">
        <v>4378.2299999999996</v>
      </c>
      <c r="K17" s="93">
        <v>7540.5</v>
      </c>
      <c r="L17" s="93">
        <v>7640.66</v>
      </c>
      <c r="M17" s="94">
        <v>179.36</v>
      </c>
      <c r="N17" s="94">
        <v>236.85</v>
      </c>
      <c r="O17" s="94">
        <v>497.56</v>
      </c>
      <c r="P17" s="94">
        <v>733.1</v>
      </c>
      <c r="Q17" s="94">
        <v>615.94000000000005</v>
      </c>
      <c r="R17" s="94">
        <v>866.92</v>
      </c>
      <c r="S17" s="94">
        <v>829.59</v>
      </c>
      <c r="T17" s="94">
        <v>518.4</v>
      </c>
      <c r="U17" s="94">
        <v>699.64</v>
      </c>
      <c r="V17" s="94">
        <v>704.23</v>
      </c>
      <c r="W17" s="94">
        <v>631.1</v>
      </c>
      <c r="X17" s="94"/>
      <c r="Y17" s="94"/>
      <c r="Z17" s="93">
        <v>139.13</v>
      </c>
      <c r="AA17" s="93">
        <v>200</v>
      </c>
      <c r="AB17" s="93">
        <v>179.92</v>
      </c>
      <c r="AC17" s="93">
        <v>300</v>
      </c>
      <c r="AD17" s="93">
        <v>250</v>
      </c>
      <c r="AE17" s="93">
        <v>325</v>
      </c>
      <c r="AF17" s="94">
        <v>234.29</v>
      </c>
      <c r="AG17" s="94">
        <v>350</v>
      </c>
      <c r="AH17" s="94">
        <v>400</v>
      </c>
      <c r="AI17" s="94">
        <v>5060.34</v>
      </c>
      <c r="AJ17" s="94">
        <v>585.4</v>
      </c>
      <c r="AK17" s="93">
        <v>3456.06</v>
      </c>
      <c r="AL17" s="93">
        <v>3822.33</v>
      </c>
      <c r="AM17" s="93">
        <v>4361.88</v>
      </c>
      <c r="AN17" s="93">
        <v>4675.5</v>
      </c>
      <c r="AO17" s="93">
        <v>4790.9399999999996</v>
      </c>
      <c r="AP17" s="93">
        <v>5053.22</v>
      </c>
      <c r="AQ17" s="93">
        <v>5278.08</v>
      </c>
      <c r="AR17" s="93">
        <v>5082.6000000000004</v>
      </c>
      <c r="AS17" s="93">
        <v>5477.88</v>
      </c>
      <c r="AT17" s="93">
        <v>13305</v>
      </c>
      <c r="AU17" s="94">
        <v>8857.16</v>
      </c>
    </row>
    <row r="18" spans="1:47" ht="13.5" customHeight="1">
      <c r="A18" s="92" t="s">
        <v>343</v>
      </c>
      <c r="B18" s="94">
        <v>3837.94</v>
      </c>
      <c r="C18" s="94">
        <v>4141.1899999999996</v>
      </c>
      <c r="D18" s="94">
        <v>4107.2</v>
      </c>
      <c r="E18" s="94">
        <v>4458.8</v>
      </c>
      <c r="F18" s="94">
        <v>4304</v>
      </c>
      <c r="G18" s="94">
        <v>4557.6000000000004</v>
      </c>
      <c r="H18" s="93">
        <v>5125.24</v>
      </c>
      <c r="I18" s="93">
        <v>5125.24</v>
      </c>
      <c r="J18" s="93">
        <v>5341.81</v>
      </c>
      <c r="K18" s="93">
        <v>5369.9</v>
      </c>
      <c r="L18" s="93">
        <v>5292.92</v>
      </c>
      <c r="M18" s="94">
        <v>407.01</v>
      </c>
      <c r="N18" s="94">
        <v>518.72</v>
      </c>
      <c r="O18" s="94">
        <v>749.03</v>
      </c>
      <c r="P18" s="94">
        <v>1031.75</v>
      </c>
      <c r="Q18" s="94">
        <v>1181.46</v>
      </c>
      <c r="R18" s="94">
        <v>1012.4</v>
      </c>
      <c r="S18" s="94">
        <v>607.12</v>
      </c>
      <c r="T18" s="94">
        <v>476.23</v>
      </c>
      <c r="U18" s="94">
        <v>795.53</v>
      </c>
      <c r="V18" s="94">
        <v>320</v>
      </c>
      <c r="W18" s="94">
        <v>380.8</v>
      </c>
      <c r="X18" s="94"/>
      <c r="Y18" s="94"/>
      <c r="Z18" s="93">
        <v>396.53</v>
      </c>
      <c r="AA18" s="93">
        <v>803.77</v>
      </c>
      <c r="AB18" s="93">
        <v>839.78</v>
      </c>
      <c r="AC18" s="93">
        <v>950</v>
      </c>
      <c r="AD18" s="93">
        <v>900</v>
      </c>
      <c r="AE18" s="93">
        <v>909</v>
      </c>
      <c r="AF18" s="94">
        <v>394.54</v>
      </c>
      <c r="AG18" s="94">
        <v>950</v>
      </c>
      <c r="AH18" s="94">
        <v>750</v>
      </c>
      <c r="AI18" s="94">
        <v>1510.38</v>
      </c>
      <c r="AJ18" s="94">
        <v>1312.49</v>
      </c>
      <c r="AK18" s="93">
        <v>4641.47</v>
      </c>
      <c r="AL18" s="93">
        <v>5463.67</v>
      </c>
      <c r="AM18" s="93">
        <v>5696.01</v>
      </c>
      <c r="AN18" s="93">
        <v>6440.55</v>
      </c>
      <c r="AO18" s="93">
        <v>6385.46</v>
      </c>
      <c r="AP18" s="93">
        <v>6479</v>
      </c>
      <c r="AQ18" s="93">
        <v>6126.9</v>
      </c>
      <c r="AR18" s="93">
        <v>6551.47</v>
      </c>
      <c r="AS18" s="93">
        <v>6887.34</v>
      </c>
      <c r="AT18" s="93">
        <v>7200</v>
      </c>
      <c r="AU18" s="94">
        <v>6986.21</v>
      </c>
    </row>
    <row r="19" spans="1:47" ht="13.5" customHeight="1">
      <c r="A19" s="92" t="s">
        <v>344</v>
      </c>
      <c r="B19" s="94">
        <v>7267.27</v>
      </c>
      <c r="C19" s="94">
        <v>7841.48</v>
      </c>
      <c r="D19" s="94">
        <v>8652.2999999999993</v>
      </c>
      <c r="E19" s="94">
        <v>8729.2000000000007</v>
      </c>
      <c r="F19" s="94">
        <v>8830</v>
      </c>
      <c r="G19" s="94">
        <v>8862</v>
      </c>
      <c r="H19" s="93">
        <v>10393.969999999999</v>
      </c>
      <c r="I19" s="93">
        <v>10393.969999999999</v>
      </c>
      <c r="J19" s="93">
        <v>10829.49</v>
      </c>
      <c r="K19" s="93">
        <v>8625.41</v>
      </c>
      <c r="L19" s="93">
        <v>6205.95</v>
      </c>
      <c r="M19" s="94">
        <v>275.27999999999997</v>
      </c>
      <c r="N19" s="94">
        <v>443.76</v>
      </c>
      <c r="O19" s="94">
        <v>840.3</v>
      </c>
      <c r="P19" s="94">
        <v>1070.08</v>
      </c>
      <c r="Q19" s="94">
        <v>1275.17</v>
      </c>
      <c r="R19" s="94">
        <v>833.88</v>
      </c>
      <c r="S19" s="94">
        <v>658.52</v>
      </c>
      <c r="T19" s="94">
        <v>380.85</v>
      </c>
      <c r="U19" s="94">
        <v>752.4</v>
      </c>
      <c r="V19" s="94">
        <v>529.22</v>
      </c>
      <c r="W19" s="94">
        <v>652.82000000000005</v>
      </c>
      <c r="X19" s="94">
        <v>0.05</v>
      </c>
      <c r="Y19" s="94">
        <v>0.05</v>
      </c>
      <c r="Z19" s="93">
        <v>416.19</v>
      </c>
      <c r="AA19" s="93">
        <v>668.61</v>
      </c>
      <c r="AB19" s="93">
        <v>702.04</v>
      </c>
      <c r="AC19" s="93">
        <v>500</v>
      </c>
      <c r="AD19" s="93">
        <v>1693.61</v>
      </c>
      <c r="AE19" s="93"/>
      <c r="AF19" s="94">
        <v>361.27</v>
      </c>
      <c r="AG19" s="94">
        <v>600</v>
      </c>
      <c r="AH19" s="94">
        <v>870.64</v>
      </c>
      <c r="AI19" s="94">
        <v>794.12</v>
      </c>
      <c r="AJ19" s="94">
        <v>1119.25</v>
      </c>
      <c r="AK19" s="93">
        <v>7958.74</v>
      </c>
      <c r="AL19" s="93">
        <v>8953.85</v>
      </c>
      <c r="AM19" s="93">
        <v>10194.64</v>
      </c>
      <c r="AN19" s="93">
        <v>10299.280000000001</v>
      </c>
      <c r="AO19" s="93">
        <v>11798.79</v>
      </c>
      <c r="AP19" s="93">
        <v>9695.8799999999992</v>
      </c>
      <c r="AQ19" s="93">
        <v>11413.76</v>
      </c>
      <c r="AR19" s="93">
        <v>11374.82</v>
      </c>
      <c r="AS19" s="93">
        <v>12452.57</v>
      </c>
      <c r="AT19" s="93">
        <v>9949</v>
      </c>
      <c r="AU19" s="94">
        <v>7978.02</v>
      </c>
    </row>
    <row r="20" spans="1:47" ht="13.5" customHeight="1">
      <c r="A20" s="92" t="s">
        <v>345</v>
      </c>
      <c r="B20" s="93">
        <v>6768.65</v>
      </c>
      <c r="C20" s="93">
        <v>7303.46</v>
      </c>
      <c r="D20" s="93">
        <v>7399</v>
      </c>
      <c r="E20" s="93">
        <v>8321</v>
      </c>
      <c r="F20" s="93">
        <v>7754</v>
      </c>
      <c r="G20" s="93">
        <v>8039.1</v>
      </c>
      <c r="H20" s="93">
        <v>9162.2999999999993</v>
      </c>
      <c r="I20" s="93">
        <v>9162.2999999999993</v>
      </c>
      <c r="J20" s="93">
        <v>9547.2999999999993</v>
      </c>
      <c r="K20" s="93">
        <v>8497.31</v>
      </c>
      <c r="L20" s="93">
        <v>12877.12</v>
      </c>
      <c r="M20" s="93">
        <v>608.79999999999995</v>
      </c>
      <c r="N20" s="93">
        <v>716.87</v>
      </c>
      <c r="O20" s="93">
        <v>1033.3900000000001</v>
      </c>
      <c r="P20" s="93">
        <v>2190.04</v>
      </c>
      <c r="Q20" s="93">
        <v>2190.6799999999998</v>
      </c>
      <c r="R20" s="93">
        <v>1263.71</v>
      </c>
      <c r="S20" s="94">
        <v>717.13</v>
      </c>
      <c r="T20" s="94">
        <v>289.10000000000002</v>
      </c>
      <c r="U20" s="94">
        <v>942.67</v>
      </c>
      <c r="V20" s="94">
        <v>781.81</v>
      </c>
      <c r="W20" s="94">
        <v>436.81</v>
      </c>
      <c r="X20" s="94">
        <v>14.44</v>
      </c>
      <c r="Y20" s="94">
        <v>1.62</v>
      </c>
      <c r="Z20" s="93">
        <v>1121.68</v>
      </c>
      <c r="AA20" s="93">
        <v>2855.67</v>
      </c>
      <c r="AB20" s="93">
        <v>1557.79</v>
      </c>
      <c r="AC20" s="93">
        <v>1720.06</v>
      </c>
      <c r="AD20" s="93">
        <v>2212.66</v>
      </c>
      <c r="AE20" s="93">
        <v>1729.8</v>
      </c>
      <c r="AF20" s="93">
        <v>1118.46</v>
      </c>
      <c r="AG20" s="93">
        <v>1690.08</v>
      </c>
      <c r="AH20" s="93">
        <v>4006.88</v>
      </c>
      <c r="AI20" s="93">
        <v>1538.64</v>
      </c>
      <c r="AJ20" s="93">
        <v>4159.03</v>
      </c>
      <c r="AK20" s="93">
        <v>8499.1299999999992</v>
      </c>
      <c r="AL20" s="93">
        <v>10876</v>
      </c>
      <c r="AM20" s="93">
        <v>9990.18</v>
      </c>
      <c r="AN20" s="93">
        <v>12231.11</v>
      </c>
      <c r="AO20" s="93">
        <v>12157.34</v>
      </c>
      <c r="AP20" s="93">
        <v>11032.61</v>
      </c>
      <c r="AQ20" s="93">
        <v>10997.9</v>
      </c>
      <c r="AR20" s="93">
        <v>11141.48</v>
      </c>
      <c r="AS20" s="93">
        <v>14511.28</v>
      </c>
      <c r="AT20" s="93">
        <v>10818</v>
      </c>
      <c r="AU20" s="93">
        <v>17472.96</v>
      </c>
    </row>
    <row r="21" spans="1:47" ht="13.5" customHeight="1">
      <c r="A21" s="92" t="s">
        <v>346</v>
      </c>
      <c r="B21" s="93">
        <v>5969.67</v>
      </c>
      <c r="C21" s="93">
        <v>6441.35</v>
      </c>
      <c r="D21" s="93">
        <v>6825.2</v>
      </c>
      <c r="E21" s="93">
        <v>7127.8</v>
      </c>
      <c r="F21" s="93">
        <v>7406</v>
      </c>
      <c r="G21" s="93">
        <v>7279.5</v>
      </c>
      <c r="H21" s="93">
        <v>8132.78</v>
      </c>
      <c r="I21" s="93">
        <v>8132.78</v>
      </c>
      <c r="J21" s="93">
        <v>8455.4599999999991</v>
      </c>
      <c r="K21" s="93">
        <v>11690.62</v>
      </c>
      <c r="L21" s="93">
        <v>13824.87</v>
      </c>
      <c r="M21" s="93">
        <v>273</v>
      </c>
      <c r="N21" s="93">
        <v>309.93</v>
      </c>
      <c r="O21" s="93">
        <v>728.06</v>
      </c>
      <c r="P21" s="93">
        <v>934</v>
      </c>
      <c r="Q21" s="93">
        <v>1126.67</v>
      </c>
      <c r="R21" s="93">
        <v>825.71</v>
      </c>
      <c r="S21" s="94">
        <v>753.51</v>
      </c>
      <c r="T21" s="94">
        <v>335.68</v>
      </c>
      <c r="U21" s="94">
        <v>601.70000000000005</v>
      </c>
      <c r="V21" s="94">
        <v>430.78</v>
      </c>
      <c r="W21" s="94">
        <v>426.94</v>
      </c>
      <c r="X21" s="94" t="s">
        <v>21</v>
      </c>
      <c r="Y21" s="94" t="s">
        <v>21</v>
      </c>
      <c r="Z21" s="93">
        <v>213.17</v>
      </c>
      <c r="AA21" s="93">
        <v>500</v>
      </c>
      <c r="AB21" s="93">
        <v>450</v>
      </c>
      <c r="AC21" s="93">
        <v>620</v>
      </c>
      <c r="AD21" s="93">
        <v>609</v>
      </c>
      <c r="AE21" s="93">
        <v>1065</v>
      </c>
      <c r="AF21" s="94">
        <v>749.41</v>
      </c>
      <c r="AG21" s="94">
        <v>850</v>
      </c>
      <c r="AH21" s="93">
        <v>1200</v>
      </c>
      <c r="AI21" s="93">
        <v>2463.0300000000002</v>
      </c>
      <c r="AJ21" s="93">
        <v>1667.56</v>
      </c>
      <c r="AK21" s="93">
        <v>6455.84</v>
      </c>
      <c r="AL21" s="93">
        <v>7251.28</v>
      </c>
      <c r="AM21" s="93">
        <v>8003.26</v>
      </c>
      <c r="AN21" s="93">
        <v>8681.7999999999993</v>
      </c>
      <c r="AO21" s="93">
        <v>9141.67</v>
      </c>
      <c r="AP21" s="93">
        <v>9170.2099999999991</v>
      </c>
      <c r="AQ21" s="93">
        <v>9635.7000000000007</v>
      </c>
      <c r="AR21" s="93">
        <v>9318.4599999999991</v>
      </c>
      <c r="AS21" s="93">
        <v>10257.16</v>
      </c>
      <c r="AT21" s="93">
        <v>14584</v>
      </c>
      <c r="AU21" s="93">
        <v>15919.37</v>
      </c>
    </row>
    <row r="22" spans="1:47" ht="13.5" customHeight="1">
      <c r="A22" s="92" t="s">
        <v>347</v>
      </c>
      <c r="B22" s="94">
        <v>4307.07</v>
      </c>
      <c r="C22" s="94">
        <v>4647.38</v>
      </c>
      <c r="D22" s="94">
        <v>4771.6000000000004</v>
      </c>
      <c r="E22" s="94">
        <v>4929.8</v>
      </c>
      <c r="F22" s="94">
        <v>4874</v>
      </c>
      <c r="G22" s="94">
        <v>4905.75</v>
      </c>
      <c r="H22" s="93">
        <v>5670.44</v>
      </c>
      <c r="I22" s="93">
        <v>5670.44</v>
      </c>
      <c r="J22" s="93">
        <v>5905.98</v>
      </c>
      <c r="K22" s="93">
        <v>6518.61</v>
      </c>
      <c r="L22" s="93">
        <v>7050.14</v>
      </c>
      <c r="M22" s="94">
        <v>215.07</v>
      </c>
      <c r="N22" s="94">
        <v>236.22</v>
      </c>
      <c r="O22" s="94">
        <v>626.08000000000004</v>
      </c>
      <c r="P22" s="94">
        <v>909.84</v>
      </c>
      <c r="Q22" s="94">
        <v>819.53</v>
      </c>
      <c r="R22" s="94">
        <v>856.79</v>
      </c>
      <c r="S22" s="94">
        <v>912.19</v>
      </c>
      <c r="T22" s="94">
        <v>379.28</v>
      </c>
      <c r="U22" s="94">
        <v>684.86</v>
      </c>
      <c r="V22" s="94">
        <v>625.11</v>
      </c>
      <c r="W22" s="94">
        <v>747.25</v>
      </c>
      <c r="X22" s="94" t="s">
        <v>21</v>
      </c>
      <c r="Y22" s="94" t="s">
        <v>21</v>
      </c>
      <c r="Z22" s="93">
        <v>279.23</v>
      </c>
      <c r="AA22" s="93">
        <v>390</v>
      </c>
      <c r="AB22" s="93">
        <v>371</v>
      </c>
      <c r="AC22" s="93">
        <v>410</v>
      </c>
      <c r="AD22" s="93">
        <v>630</v>
      </c>
      <c r="AE22" s="93">
        <v>830</v>
      </c>
      <c r="AF22" s="94">
        <v>473.06</v>
      </c>
      <c r="AG22" s="94">
        <v>660</v>
      </c>
      <c r="AH22" s="94">
        <v>985</v>
      </c>
      <c r="AI22" s="94">
        <v>895.42</v>
      </c>
      <c r="AJ22" s="94">
        <v>975</v>
      </c>
      <c r="AK22" s="93">
        <v>4801.37</v>
      </c>
      <c r="AL22" s="93">
        <v>5273.6</v>
      </c>
      <c r="AM22" s="93">
        <v>5768.68</v>
      </c>
      <c r="AN22" s="93">
        <v>6249.64</v>
      </c>
      <c r="AO22" s="93">
        <v>6323.53</v>
      </c>
      <c r="AP22" s="93">
        <v>6592.54</v>
      </c>
      <c r="AQ22" s="93">
        <v>7055.69</v>
      </c>
      <c r="AR22" s="93">
        <v>6709.73</v>
      </c>
      <c r="AS22" s="93">
        <v>7575.84</v>
      </c>
      <c r="AT22" s="93">
        <v>8039</v>
      </c>
      <c r="AU22" s="94">
        <v>8772.39</v>
      </c>
    </row>
    <row r="23" spans="1:47" ht="13.5" customHeight="1">
      <c r="A23" s="92" t="s">
        <v>348</v>
      </c>
      <c r="B23" s="93">
        <v>4449.22</v>
      </c>
      <c r="C23" s="93">
        <v>4800.76</v>
      </c>
      <c r="D23" s="93">
        <v>4952.8</v>
      </c>
      <c r="E23" s="93">
        <v>5024</v>
      </c>
      <c r="F23" s="93">
        <v>5412</v>
      </c>
      <c r="G23" s="93">
        <v>5095.6499999999996</v>
      </c>
      <c r="H23" s="93">
        <v>6228.73</v>
      </c>
      <c r="I23" s="93">
        <v>6228.73</v>
      </c>
      <c r="J23" s="93">
        <v>6485.33</v>
      </c>
      <c r="K23" s="93">
        <v>5623.23</v>
      </c>
      <c r="L23" s="93">
        <v>7343.22</v>
      </c>
      <c r="M23" s="93">
        <v>619.14</v>
      </c>
      <c r="N23" s="93">
        <v>652.98</v>
      </c>
      <c r="O23" s="93">
        <v>841.85</v>
      </c>
      <c r="P23" s="93">
        <v>1246.6199999999999</v>
      </c>
      <c r="Q23" s="93">
        <v>1304.0899999999999</v>
      </c>
      <c r="R23" s="93">
        <v>1182.5999999999999</v>
      </c>
      <c r="S23" s="94">
        <v>833.56</v>
      </c>
      <c r="T23" s="94">
        <v>373.52</v>
      </c>
      <c r="U23" s="94">
        <v>632.52</v>
      </c>
      <c r="V23" s="94">
        <v>817.43</v>
      </c>
      <c r="W23" s="94">
        <v>675.65</v>
      </c>
      <c r="X23" s="94">
        <v>0.25</v>
      </c>
      <c r="Y23" s="94" t="s">
        <v>21</v>
      </c>
      <c r="Z23" s="93">
        <v>709.55</v>
      </c>
      <c r="AA23" s="93">
        <v>1095.0999999999999</v>
      </c>
      <c r="AB23" s="93">
        <v>1000</v>
      </c>
      <c r="AC23" s="93">
        <v>1000</v>
      </c>
      <c r="AD23" s="93">
        <v>1000</v>
      </c>
      <c r="AE23" s="93">
        <v>1000</v>
      </c>
      <c r="AF23" s="94">
        <v>948.31</v>
      </c>
      <c r="AG23" s="94">
        <v>700</v>
      </c>
      <c r="AH23" s="94">
        <v>800</v>
      </c>
      <c r="AI23" s="93">
        <v>535.78</v>
      </c>
      <c r="AJ23" s="93">
        <v>1650</v>
      </c>
      <c r="AK23" s="93">
        <v>5777.92</v>
      </c>
      <c r="AL23" s="93">
        <v>6548.84</v>
      </c>
      <c r="AM23" s="93">
        <v>6794.65</v>
      </c>
      <c r="AN23" s="93">
        <v>7270.62</v>
      </c>
      <c r="AO23" s="93">
        <v>7716.09</v>
      </c>
      <c r="AP23" s="93">
        <v>7278.25</v>
      </c>
      <c r="AQ23" s="93">
        <v>8010.61</v>
      </c>
      <c r="AR23" s="93">
        <v>7302.25</v>
      </c>
      <c r="AS23" s="93">
        <v>7918.1</v>
      </c>
      <c r="AT23" s="93">
        <v>6976</v>
      </c>
      <c r="AU23" s="93">
        <v>9668.8700000000008</v>
      </c>
    </row>
    <row r="24" spans="1:47" ht="13.5" customHeight="1">
      <c r="A24" s="92" t="s">
        <v>349</v>
      </c>
      <c r="B24" s="94">
        <v>3538.22</v>
      </c>
      <c r="C24" s="94">
        <v>3817.78</v>
      </c>
      <c r="D24" s="94">
        <v>4409.2</v>
      </c>
      <c r="E24" s="94">
        <v>4113.3999999999996</v>
      </c>
      <c r="F24" s="94">
        <v>4241</v>
      </c>
      <c r="G24" s="94">
        <v>4272.75</v>
      </c>
      <c r="H24" s="93">
        <v>5196.18</v>
      </c>
      <c r="I24" s="93">
        <v>5196.18</v>
      </c>
      <c r="J24" s="93">
        <v>5420.22</v>
      </c>
      <c r="K24" s="93">
        <v>9305.84</v>
      </c>
      <c r="L24" s="93">
        <v>11384.16</v>
      </c>
      <c r="M24" s="94">
        <v>203.72</v>
      </c>
      <c r="N24" s="94">
        <v>217.8</v>
      </c>
      <c r="O24" s="94">
        <v>431.32</v>
      </c>
      <c r="P24" s="94">
        <v>689.39</v>
      </c>
      <c r="Q24" s="94">
        <v>819.96</v>
      </c>
      <c r="R24" s="94">
        <v>602.77</v>
      </c>
      <c r="S24" s="94">
        <v>726.94</v>
      </c>
      <c r="T24" s="94">
        <v>294.04000000000002</v>
      </c>
      <c r="U24" s="94">
        <v>689.36</v>
      </c>
      <c r="V24" s="94">
        <v>529.02</v>
      </c>
      <c r="W24" s="94">
        <v>344.9</v>
      </c>
      <c r="X24" s="94" t="s">
        <v>21</v>
      </c>
      <c r="Y24" s="94" t="s">
        <v>21</v>
      </c>
      <c r="Z24" s="93">
        <v>390.38</v>
      </c>
      <c r="AA24" s="93">
        <v>460</v>
      </c>
      <c r="AB24" s="93">
        <v>500</v>
      </c>
      <c r="AC24" s="93">
        <v>650</v>
      </c>
      <c r="AD24" s="93">
        <v>500</v>
      </c>
      <c r="AE24" s="93">
        <v>400</v>
      </c>
      <c r="AF24" s="94">
        <v>364.65</v>
      </c>
      <c r="AG24" s="94">
        <v>500</v>
      </c>
      <c r="AH24" s="94">
        <v>550</v>
      </c>
      <c r="AI24" s="94">
        <v>1269.06</v>
      </c>
      <c r="AJ24" s="94">
        <v>704</v>
      </c>
      <c r="AK24" s="93">
        <v>4132.3100000000004</v>
      </c>
      <c r="AL24" s="93">
        <v>4495.59</v>
      </c>
      <c r="AM24" s="93">
        <v>5340.52</v>
      </c>
      <c r="AN24" s="93">
        <v>5452.79</v>
      </c>
      <c r="AO24" s="93">
        <v>5560.96</v>
      </c>
      <c r="AP24" s="93">
        <v>5275.52</v>
      </c>
      <c r="AQ24" s="93">
        <v>6287.77</v>
      </c>
      <c r="AR24" s="93">
        <v>5990.22</v>
      </c>
      <c r="AS24" s="93">
        <v>6659.58</v>
      </c>
      <c r="AT24" s="93">
        <v>11104</v>
      </c>
      <c r="AU24" s="94">
        <v>12433.07</v>
      </c>
    </row>
    <row r="25" spans="1:47" ht="13.5" customHeight="1">
      <c r="A25" s="92" t="s">
        <v>350</v>
      </c>
      <c r="B25" s="93">
        <v>5356</v>
      </c>
      <c r="C25" s="93">
        <v>5779.19</v>
      </c>
      <c r="D25" s="93">
        <v>6191</v>
      </c>
      <c r="E25" s="93">
        <v>6248.6</v>
      </c>
      <c r="F25" s="93">
        <v>6298</v>
      </c>
      <c r="G25" s="93">
        <v>6456.6</v>
      </c>
      <c r="H25" s="93">
        <v>7180.16</v>
      </c>
      <c r="I25" s="93">
        <v>7180.16</v>
      </c>
      <c r="J25" s="93">
        <v>7473.79</v>
      </c>
      <c r="K25" s="93">
        <v>20178.71</v>
      </c>
      <c r="L25" s="93">
        <v>7705.75</v>
      </c>
      <c r="M25" s="93">
        <v>266.56</v>
      </c>
      <c r="N25" s="93">
        <v>296.52</v>
      </c>
      <c r="O25" s="93">
        <v>603.20000000000005</v>
      </c>
      <c r="P25" s="93">
        <v>772.24</v>
      </c>
      <c r="Q25" s="93">
        <v>934.89</v>
      </c>
      <c r="R25" s="93">
        <v>865.83</v>
      </c>
      <c r="S25" s="94">
        <v>608.23</v>
      </c>
      <c r="T25" s="94">
        <v>351.75</v>
      </c>
      <c r="U25" s="94">
        <v>793.02</v>
      </c>
      <c r="V25" s="94">
        <v>471.05</v>
      </c>
      <c r="W25" s="94">
        <v>383.93</v>
      </c>
      <c r="X25" s="94">
        <v>70.739999999999995</v>
      </c>
      <c r="Y25" s="94" t="s">
        <v>21</v>
      </c>
      <c r="Z25" s="93">
        <v>617.53</v>
      </c>
      <c r="AA25" s="93">
        <v>850</v>
      </c>
      <c r="AB25" s="93">
        <v>1100.99</v>
      </c>
      <c r="AC25" s="93">
        <v>1000</v>
      </c>
      <c r="AD25" s="93">
        <v>960</v>
      </c>
      <c r="AE25" s="93">
        <v>900</v>
      </c>
      <c r="AF25" s="94">
        <v>520.32000000000005</v>
      </c>
      <c r="AG25" s="93">
        <v>1500</v>
      </c>
      <c r="AH25" s="93">
        <v>1475</v>
      </c>
      <c r="AI25" s="93">
        <v>231.24</v>
      </c>
      <c r="AJ25" s="93">
        <v>1606.67</v>
      </c>
      <c r="AK25" s="93">
        <v>6240.08</v>
      </c>
      <c r="AL25" s="93">
        <v>6925.71</v>
      </c>
      <c r="AM25" s="93">
        <v>7895.19</v>
      </c>
      <c r="AN25" s="93">
        <v>8020.84</v>
      </c>
      <c r="AO25" s="93">
        <v>8192.89</v>
      </c>
      <c r="AP25" s="93">
        <v>8222.43</v>
      </c>
      <c r="AQ25" s="93">
        <v>8308.7000000000007</v>
      </c>
      <c r="AR25" s="93">
        <v>9031.91</v>
      </c>
      <c r="AS25" s="93">
        <v>9812.5499999999993</v>
      </c>
      <c r="AT25" s="93">
        <v>20881</v>
      </c>
      <c r="AU25" s="93">
        <v>9696.35</v>
      </c>
    </row>
    <row r="26" spans="1:47" ht="13.5" customHeight="1">
      <c r="A26" s="92" t="s">
        <v>351</v>
      </c>
      <c r="B26" s="93">
        <v>7463.54</v>
      </c>
      <c r="C26" s="93">
        <v>8053.26</v>
      </c>
      <c r="D26" s="93">
        <v>9664</v>
      </c>
      <c r="E26" s="93">
        <v>9357.2000000000007</v>
      </c>
      <c r="F26" s="93">
        <v>9432</v>
      </c>
      <c r="G26" s="93">
        <v>9843.15</v>
      </c>
      <c r="H26" s="93">
        <v>11717.53</v>
      </c>
      <c r="I26" s="93">
        <v>11717.53</v>
      </c>
      <c r="J26" s="93">
        <v>12227.55</v>
      </c>
      <c r="K26" s="93">
        <v>12169.84</v>
      </c>
      <c r="L26" s="93">
        <v>4587.1499999999996</v>
      </c>
      <c r="M26" s="93">
        <v>783.22</v>
      </c>
      <c r="N26" s="93">
        <v>879.44</v>
      </c>
      <c r="O26" s="93">
        <v>1093.0899999999999</v>
      </c>
      <c r="P26" s="93">
        <v>3257.15</v>
      </c>
      <c r="Q26" s="93">
        <v>3409.55</v>
      </c>
      <c r="R26" s="93">
        <v>1436.75</v>
      </c>
      <c r="S26" s="94">
        <v>742.54</v>
      </c>
      <c r="T26" s="94">
        <v>602.1</v>
      </c>
      <c r="U26" s="93">
        <v>1029.43</v>
      </c>
      <c r="V26" s="93">
        <v>2332.15</v>
      </c>
      <c r="W26" s="94">
        <v>527.46</v>
      </c>
      <c r="X26" s="94">
        <v>5.08</v>
      </c>
      <c r="Y26" s="94">
        <v>5.7</v>
      </c>
      <c r="Z26" s="93">
        <v>2461.35</v>
      </c>
      <c r="AA26" s="93">
        <v>3767.97</v>
      </c>
      <c r="AB26" s="93">
        <v>3127.4</v>
      </c>
      <c r="AC26" s="93">
        <v>2736.73</v>
      </c>
      <c r="AD26" s="93">
        <v>2968</v>
      </c>
      <c r="AE26" s="93">
        <v>3669.55</v>
      </c>
      <c r="AF26" s="93">
        <v>3149.18</v>
      </c>
      <c r="AG26" s="93">
        <v>4136.82</v>
      </c>
      <c r="AH26" s="93">
        <v>7980.14</v>
      </c>
      <c r="AI26" s="93">
        <v>2181.84</v>
      </c>
      <c r="AJ26" s="93">
        <v>9854.7199999999993</v>
      </c>
      <c r="AK26" s="93">
        <v>10708.12</v>
      </c>
      <c r="AL26" s="93">
        <v>12700.67</v>
      </c>
      <c r="AM26" s="93">
        <v>13884.49</v>
      </c>
      <c r="AN26" s="93">
        <v>15351.08</v>
      </c>
      <c r="AO26" s="93">
        <v>15809.55</v>
      </c>
      <c r="AP26" s="93">
        <v>14949.46</v>
      </c>
      <c r="AQ26" s="93">
        <v>15609.25</v>
      </c>
      <c r="AR26" s="93">
        <v>16456.45</v>
      </c>
      <c r="AS26" s="93">
        <v>21242.21</v>
      </c>
      <c r="AT26" s="93">
        <v>16684</v>
      </c>
      <c r="AU26" s="93">
        <v>14969.33</v>
      </c>
    </row>
    <row r="27" spans="1:47" ht="13.5" customHeight="1">
      <c r="A27" s="92" t="s">
        <v>352</v>
      </c>
      <c r="B27" s="94">
        <v>10479.030000000001</v>
      </c>
      <c r="C27" s="94">
        <v>11307.01</v>
      </c>
      <c r="D27" s="94">
        <v>10071.700000000001</v>
      </c>
      <c r="E27" s="94">
        <v>10770.2</v>
      </c>
      <c r="F27" s="94">
        <v>10539</v>
      </c>
      <c r="G27" s="94">
        <v>10571.1</v>
      </c>
      <c r="H27" s="93">
        <v>12609.31</v>
      </c>
      <c r="I27" s="93">
        <v>12609.31</v>
      </c>
      <c r="J27" s="93">
        <v>13143.95</v>
      </c>
      <c r="K27" s="93">
        <v>8472.4</v>
      </c>
      <c r="L27" s="93">
        <v>8539.7999999999993</v>
      </c>
      <c r="M27" s="94">
        <v>272.01</v>
      </c>
      <c r="N27" s="94">
        <v>400.86</v>
      </c>
      <c r="O27" s="94">
        <v>936.43</v>
      </c>
      <c r="P27" s="94">
        <v>969.16</v>
      </c>
      <c r="Q27" s="94">
        <v>1296.08</v>
      </c>
      <c r="R27" s="94">
        <v>1295.3499999999999</v>
      </c>
      <c r="S27" s="94">
        <v>939.55</v>
      </c>
      <c r="T27" s="94">
        <v>832.59</v>
      </c>
      <c r="U27" s="93">
        <v>1000.32</v>
      </c>
      <c r="V27" s="93">
        <v>1196.78</v>
      </c>
      <c r="W27" s="93">
        <v>10074.11</v>
      </c>
      <c r="X27" s="94" t="s">
        <v>21</v>
      </c>
      <c r="Y27" s="94" t="s">
        <v>21</v>
      </c>
      <c r="Z27" s="93">
        <v>134.02000000000001</v>
      </c>
      <c r="AA27" s="93">
        <v>180</v>
      </c>
      <c r="AB27" s="93">
        <v>200</v>
      </c>
      <c r="AC27" s="93">
        <v>250</v>
      </c>
      <c r="AD27" s="93">
        <v>1075.48</v>
      </c>
      <c r="AE27" s="93">
        <v>150</v>
      </c>
      <c r="AF27" s="94">
        <v>204.35</v>
      </c>
      <c r="AG27" s="94">
        <v>198</v>
      </c>
      <c r="AH27" s="94">
        <v>200</v>
      </c>
      <c r="AI27" s="94">
        <v>1285.8</v>
      </c>
      <c r="AJ27" s="94">
        <v>1200</v>
      </c>
      <c r="AK27" s="93">
        <v>10885.06</v>
      </c>
      <c r="AL27" s="93">
        <v>11887.87</v>
      </c>
      <c r="AM27" s="93">
        <v>11208.13</v>
      </c>
      <c r="AN27" s="93">
        <v>11989.36</v>
      </c>
      <c r="AO27" s="93">
        <v>12910.56</v>
      </c>
      <c r="AP27" s="93">
        <v>12016.45</v>
      </c>
      <c r="AQ27" s="93">
        <v>13753.2</v>
      </c>
      <c r="AR27" s="93">
        <v>13639.9</v>
      </c>
      <c r="AS27" s="93">
        <v>14344.27</v>
      </c>
      <c r="AT27" s="93">
        <v>10955</v>
      </c>
      <c r="AU27" s="94">
        <v>19813.91</v>
      </c>
    </row>
    <row r="28" spans="1:47" ht="13.5" customHeight="1">
      <c r="A28" s="92" t="s">
        <v>353</v>
      </c>
      <c r="B28" s="94">
        <v>4313.6899999999996</v>
      </c>
      <c r="C28" s="94">
        <v>4654.53</v>
      </c>
      <c r="D28" s="94">
        <v>4741.3999999999996</v>
      </c>
      <c r="E28" s="94">
        <v>4929.8</v>
      </c>
      <c r="F28" s="94">
        <v>5001</v>
      </c>
      <c r="G28" s="94">
        <v>5000.7</v>
      </c>
      <c r="H28" s="93">
        <v>6297.28</v>
      </c>
      <c r="I28" s="93">
        <v>6297.28</v>
      </c>
      <c r="J28" s="93">
        <v>6573.87</v>
      </c>
      <c r="K28" s="93">
        <v>6609.74</v>
      </c>
      <c r="L28" s="93">
        <v>21119.45</v>
      </c>
      <c r="M28" s="94">
        <v>203.75</v>
      </c>
      <c r="N28" s="94">
        <v>292.77</v>
      </c>
      <c r="O28" s="94">
        <v>638.61</v>
      </c>
      <c r="P28" s="94">
        <v>790.02</v>
      </c>
      <c r="Q28" s="94">
        <v>702.59</v>
      </c>
      <c r="R28" s="94">
        <v>813.58</v>
      </c>
      <c r="S28" s="94">
        <v>713.25</v>
      </c>
      <c r="T28" s="93">
        <v>5769.64</v>
      </c>
      <c r="U28" s="94">
        <v>359.21</v>
      </c>
      <c r="V28" s="94">
        <v>499.69</v>
      </c>
      <c r="W28" s="94">
        <v>385.12</v>
      </c>
      <c r="X28" s="94" t="s">
        <v>21</v>
      </c>
      <c r="Y28" s="94" t="s">
        <v>21</v>
      </c>
      <c r="Z28" s="93">
        <v>98.31</v>
      </c>
      <c r="AA28" s="93">
        <v>122.25</v>
      </c>
      <c r="AB28" s="93">
        <v>105.32</v>
      </c>
      <c r="AC28" s="93">
        <v>122.37</v>
      </c>
      <c r="AD28" s="93">
        <v>130.32</v>
      </c>
      <c r="AE28" s="93">
        <v>168.35</v>
      </c>
      <c r="AF28" s="94">
        <v>113.44</v>
      </c>
      <c r="AG28" s="94">
        <v>170</v>
      </c>
      <c r="AH28" s="94">
        <v>230</v>
      </c>
      <c r="AI28" s="94">
        <v>431.17</v>
      </c>
      <c r="AJ28" s="94">
        <v>290.95999999999998</v>
      </c>
      <c r="AK28" s="93">
        <v>4615.75</v>
      </c>
      <c r="AL28" s="93">
        <v>5069.54</v>
      </c>
      <c r="AM28" s="93">
        <v>5485.33</v>
      </c>
      <c r="AN28" s="93">
        <v>5842.19</v>
      </c>
      <c r="AO28" s="93">
        <v>5833.91</v>
      </c>
      <c r="AP28" s="93">
        <v>5982.63</v>
      </c>
      <c r="AQ28" s="93">
        <v>7123.98</v>
      </c>
      <c r="AR28" s="93">
        <v>12236.92</v>
      </c>
      <c r="AS28" s="93">
        <v>7163.07</v>
      </c>
      <c r="AT28" s="93">
        <v>7541</v>
      </c>
      <c r="AU28" s="94">
        <v>21795.53</v>
      </c>
    </row>
    <row r="29" spans="1:47" ht="13.5" customHeight="1">
      <c r="A29" s="92" t="s">
        <v>354</v>
      </c>
      <c r="B29" s="94">
        <v>3552.28</v>
      </c>
      <c r="C29" s="94">
        <v>3832.96</v>
      </c>
      <c r="D29" s="94">
        <v>3805.2</v>
      </c>
      <c r="E29" s="94">
        <v>4427.3999999999996</v>
      </c>
      <c r="F29" s="94">
        <v>4621</v>
      </c>
      <c r="G29" s="94">
        <v>3987.9</v>
      </c>
      <c r="H29" s="93">
        <v>5371.35</v>
      </c>
      <c r="I29" s="93">
        <v>5371.35</v>
      </c>
      <c r="J29" s="93">
        <v>5594.31</v>
      </c>
      <c r="K29" s="93">
        <v>7301.47</v>
      </c>
      <c r="L29" s="93">
        <v>13579.04</v>
      </c>
      <c r="M29" s="94">
        <v>160.28</v>
      </c>
      <c r="N29" s="94">
        <v>212.26</v>
      </c>
      <c r="O29" s="94">
        <v>596.6</v>
      </c>
      <c r="P29" s="94">
        <v>752.38</v>
      </c>
      <c r="Q29" s="94">
        <v>821.97</v>
      </c>
      <c r="R29" s="94">
        <v>602.39</v>
      </c>
      <c r="S29" s="94">
        <v>624.24</v>
      </c>
      <c r="T29" s="94">
        <v>347.52</v>
      </c>
      <c r="U29" s="94">
        <v>383.76</v>
      </c>
      <c r="V29" s="94">
        <v>531.96</v>
      </c>
      <c r="W29" s="94">
        <v>422.56</v>
      </c>
      <c r="X29" s="94" t="s">
        <v>21</v>
      </c>
      <c r="Y29" s="94" t="s">
        <v>21</v>
      </c>
      <c r="Z29" s="93">
        <v>166.84</v>
      </c>
      <c r="AA29" s="93">
        <v>341.87</v>
      </c>
      <c r="AB29" s="93">
        <v>301.23</v>
      </c>
      <c r="AC29" s="93">
        <v>254.03</v>
      </c>
      <c r="AD29" s="93">
        <v>267.02999999999997</v>
      </c>
      <c r="AE29" s="93">
        <v>280.31</v>
      </c>
      <c r="AF29" s="94">
        <v>120.05</v>
      </c>
      <c r="AG29" s="94">
        <v>240.33</v>
      </c>
      <c r="AH29" s="94">
        <v>256.02999999999997</v>
      </c>
      <c r="AI29" s="94">
        <v>185.42</v>
      </c>
      <c r="AJ29" s="94">
        <v>302</v>
      </c>
      <c r="AK29" s="93">
        <v>3879.4</v>
      </c>
      <c r="AL29" s="93">
        <v>4387.08</v>
      </c>
      <c r="AM29" s="93">
        <v>4703.03</v>
      </c>
      <c r="AN29" s="93">
        <v>5433.81</v>
      </c>
      <c r="AO29" s="93">
        <v>5710.01</v>
      </c>
      <c r="AP29" s="93">
        <v>4870.6099999999997</v>
      </c>
      <c r="AQ29" s="93">
        <v>6115.63</v>
      </c>
      <c r="AR29" s="93">
        <v>5959.19</v>
      </c>
      <c r="AS29" s="93">
        <v>6234.1</v>
      </c>
      <c r="AT29" s="93">
        <v>8019</v>
      </c>
      <c r="AU29" s="94">
        <v>14303.6</v>
      </c>
    </row>
    <row r="30" spans="1:47" ht="13.5" customHeight="1">
      <c r="A30" s="92" t="s">
        <v>355</v>
      </c>
      <c r="B30" s="94">
        <v>5099.6099999999997</v>
      </c>
      <c r="C30" s="94">
        <v>5502.55</v>
      </c>
      <c r="D30" s="94">
        <v>5647.4</v>
      </c>
      <c r="E30" s="94">
        <v>5620.6</v>
      </c>
      <c r="F30" s="94">
        <v>5760</v>
      </c>
      <c r="G30" s="94">
        <v>5791.95</v>
      </c>
      <c r="H30" s="93">
        <v>7186.16</v>
      </c>
      <c r="I30" s="93">
        <v>7186.16</v>
      </c>
      <c r="J30" s="93">
        <v>7499.82</v>
      </c>
      <c r="K30" s="93">
        <v>13213.28</v>
      </c>
      <c r="L30" s="93">
        <v>8789.2900000000009</v>
      </c>
      <c r="M30" s="94">
        <v>247.52</v>
      </c>
      <c r="N30" s="94">
        <v>282.45999999999998</v>
      </c>
      <c r="O30" s="94">
        <v>603.57000000000005</v>
      </c>
      <c r="P30" s="94">
        <v>1027.93</v>
      </c>
      <c r="Q30" s="94">
        <v>1216.06</v>
      </c>
      <c r="R30" s="94">
        <v>733.14</v>
      </c>
      <c r="S30" s="94">
        <v>724.98</v>
      </c>
      <c r="T30" s="94">
        <v>555.58000000000004</v>
      </c>
      <c r="U30" s="93">
        <v>1164.3900000000001</v>
      </c>
      <c r="V30" s="93">
        <v>1202.42</v>
      </c>
      <c r="W30" s="94">
        <v>544.4</v>
      </c>
      <c r="X30" s="94" t="s">
        <v>21</v>
      </c>
      <c r="Y30" s="94" t="s">
        <v>21</v>
      </c>
      <c r="Z30" s="93">
        <v>364.97</v>
      </c>
      <c r="AA30" s="93">
        <v>500</v>
      </c>
      <c r="AB30" s="93">
        <v>600</v>
      </c>
      <c r="AC30" s="93">
        <v>500</v>
      </c>
      <c r="AD30" s="93">
        <v>500</v>
      </c>
      <c r="AE30" s="93">
        <v>500</v>
      </c>
      <c r="AF30" s="94">
        <v>379.99</v>
      </c>
      <c r="AG30" s="94">
        <v>629.5</v>
      </c>
      <c r="AH30" s="94">
        <v>643.70000000000005</v>
      </c>
      <c r="AI30" s="94">
        <v>1163.32</v>
      </c>
      <c r="AJ30" s="94">
        <v>600</v>
      </c>
      <c r="AK30" s="93">
        <v>5712.1</v>
      </c>
      <c r="AL30" s="93">
        <v>6285.01</v>
      </c>
      <c r="AM30" s="93">
        <v>6850.97</v>
      </c>
      <c r="AN30" s="93">
        <v>7148.53</v>
      </c>
      <c r="AO30" s="93">
        <v>7476.06</v>
      </c>
      <c r="AP30" s="93">
        <v>7025.09</v>
      </c>
      <c r="AQ30" s="93">
        <v>8291.1299999999992</v>
      </c>
      <c r="AR30" s="93">
        <v>8371.24</v>
      </c>
      <c r="AS30" s="93">
        <v>9307.91</v>
      </c>
      <c r="AT30" s="93">
        <v>15579</v>
      </c>
      <c r="AU30" s="94">
        <v>9933.69</v>
      </c>
    </row>
    <row r="31" spans="1:47" ht="13.5" customHeight="1">
      <c r="A31" s="92" t="s">
        <v>356</v>
      </c>
      <c r="B31" s="93">
        <v>5190.88</v>
      </c>
      <c r="C31" s="93">
        <v>5601.03</v>
      </c>
      <c r="D31" s="93">
        <v>5707.8</v>
      </c>
      <c r="E31" s="93">
        <v>5934.6</v>
      </c>
      <c r="F31" s="93">
        <v>6330</v>
      </c>
      <c r="G31" s="93">
        <v>6045.15</v>
      </c>
      <c r="H31" s="93">
        <v>8068.86</v>
      </c>
      <c r="I31" s="93">
        <v>8068.86</v>
      </c>
      <c r="J31" s="93">
        <v>8426.07</v>
      </c>
      <c r="K31" s="93">
        <v>8345.01</v>
      </c>
      <c r="L31" s="93">
        <v>8769.92</v>
      </c>
      <c r="M31" s="93">
        <v>299.86</v>
      </c>
      <c r="N31" s="93">
        <v>253.41</v>
      </c>
      <c r="O31" s="93">
        <v>587.97</v>
      </c>
      <c r="P31" s="93">
        <v>1350.23</v>
      </c>
      <c r="Q31" s="93">
        <v>1471.49</v>
      </c>
      <c r="R31" s="93">
        <v>877.39</v>
      </c>
      <c r="S31" s="94">
        <v>762.15</v>
      </c>
      <c r="T31" s="94">
        <v>433.74</v>
      </c>
      <c r="U31" s="93">
        <v>1306.42</v>
      </c>
      <c r="V31" s="93">
        <v>1877.32</v>
      </c>
      <c r="W31" s="94">
        <v>592.52</v>
      </c>
      <c r="X31" s="94" t="s">
        <v>21</v>
      </c>
      <c r="Y31" s="94" t="s">
        <v>21</v>
      </c>
      <c r="Z31" s="93">
        <v>719.04</v>
      </c>
      <c r="AA31" s="93">
        <v>1192</v>
      </c>
      <c r="AB31" s="93">
        <v>1000</v>
      </c>
      <c r="AC31" s="93">
        <v>1200</v>
      </c>
      <c r="AD31" s="93">
        <v>900</v>
      </c>
      <c r="AE31" s="93">
        <v>991</v>
      </c>
      <c r="AF31" s="94">
        <v>858.34</v>
      </c>
      <c r="AG31" s="93">
        <v>1400.47</v>
      </c>
      <c r="AH31" s="93">
        <v>1179.04</v>
      </c>
      <c r="AI31" s="93">
        <v>691.56</v>
      </c>
      <c r="AJ31" s="93">
        <v>1300</v>
      </c>
      <c r="AK31" s="93">
        <v>6209.79</v>
      </c>
      <c r="AL31" s="93">
        <v>7046.44</v>
      </c>
      <c r="AM31" s="93">
        <v>7295.77</v>
      </c>
      <c r="AN31" s="93">
        <v>8484.83</v>
      </c>
      <c r="AO31" s="93">
        <v>8701.49</v>
      </c>
      <c r="AP31" s="93">
        <v>7913.54</v>
      </c>
      <c r="AQ31" s="93">
        <v>9689.35</v>
      </c>
      <c r="AR31" s="93">
        <v>9903.07</v>
      </c>
      <c r="AS31" s="93">
        <v>10911.54</v>
      </c>
      <c r="AT31" s="93">
        <v>10914</v>
      </c>
      <c r="AU31" s="93">
        <v>10662.44</v>
      </c>
    </row>
    <row r="32" spans="1:47" ht="13.5" customHeight="1">
      <c r="A32" s="92" t="s">
        <v>357</v>
      </c>
      <c r="B32" s="94">
        <v>3270.44</v>
      </c>
      <c r="C32" s="94">
        <v>3528.85</v>
      </c>
      <c r="D32" s="94">
        <v>3624</v>
      </c>
      <c r="E32" s="94">
        <v>3768</v>
      </c>
      <c r="F32" s="94">
        <v>3861</v>
      </c>
      <c r="G32" s="94">
        <v>3861.3</v>
      </c>
      <c r="H32" s="93">
        <v>4606.53</v>
      </c>
      <c r="I32" s="93">
        <v>4606.53</v>
      </c>
      <c r="J32" s="93">
        <v>4801.45</v>
      </c>
      <c r="K32" s="93">
        <v>4826.7299999999996</v>
      </c>
      <c r="L32" s="93">
        <v>3405.09</v>
      </c>
      <c r="M32" s="94">
        <v>189.32</v>
      </c>
      <c r="N32" s="94">
        <v>276.48</v>
      </c>
      <c r="O32" s="94">
        <v>424.19</v>
      </c>
      <c r="P32" s="94">
        <v>657.3</v>
      </c>
      <c r="Q32" s="94">
        <v>670.45</v>
      </c>
      <c r="R32" s="94">
        <v>735.21</v>
      </c>
      <c r="S32" s="94">
        <v>855.35</v>
      </c>
      <c r="T32" s="94">
        <v>313.74</v>
      </c>
      <c r="U32" s="94">
        <v>503.37</v>
      </c>
      <c r="V32" s="94">
        <v>995.53</v>
      </c>
      <c r="W32" s="94">
        <v>835.1</v>
      </c>
      <c r="X32" s="94" t="s">
        <v>21</v>
      </c>
      <c r="Y32" s="94" t="s">
        <v>21</v>
      </c>
      <c r="Z32" s="93">
        <v>128.06</v>
      </c>
      <c r="AA32" s="93">
        <v>160</v>
      </c>
      <c r="AB32" s="93">
        <v>160.29</v>
      </c>
      <c r="AC32" s="93">
        <v>130</v>
      </c>
      <c r="AD32" s="93">
        <v>152</v>
      </c>
      <c r="AE32" s="93">
        <v>80</v>
      </c>
      <c r="AF32" s="94">
        <v>162.25</v>
      </c>
      <c r="AG32" s="94">
        <v>246.24</v>
      </c>
      <c r="AH32" s="94">
        <v>220.33</v>
      </c>
      <c r="AI32" s="94">
        <v>5125.71</v>
      </c>
      <c r="AJ32" s="94">
        <v>457.43</v>
      </c>
      <c r="AK32" s="93">
        <v>3587.82</v>
      </c>
      <c r="AL32" s="93">
        <v>3965.33</v>
      </c>
      <c r="AM32" s="93">
        <v>4208.4799999999996</v>
      </c>
      <c r="AN32" s="93">
        <v>4555.3</v>
      </c>
      <c r="AO32" s="93">
        <v>4683.45</v>
      </c>
      <c r="AP32" s="93">
        <v>4676.51</v>
      </c>
      <c r="AQ32" s="93">
        <v>5624.14</v>
      </c>
      <c r="AR32" s="93">
        <v>5166.51</v>
      </c>
      <c r="AS32" s="93">
        <v>5525.15</v>
      </c>
      <c r="AT32" s="93">
        <v>10948</v>
      </c>
      <c r="AU32" s="94">
        <v>4697.6099999999997</v>
      </c>
    </row>
    <row r="33" spans="1:47" ht="13.5" customHeight="1">
      <c r="A33" s="92" t="s">
        <v>358</v>
      </c>
      <c r="B33" s="94">
        <v>4755.1099999999997</v>
      </c>
      <c r="C33" s="94">
        <v>5130.82</v>
      </c>
      <c r="D33" s="94">
        <v>5103.8</v>
      </c>
      <c r="E33" s="94">
        <v>5369.4</v>
      </c>
      <c r="F33" s="94">
        <v>5349</v>
      </c>
      <c r="G33" s="94">
        <v>5380.5</v>
      </c>
      <c r="H33" s="93">
        <v>6990.87</v>
      </c>
      <c r="I33" s="93">
        <v>6990.87</v>
      </c>
      <c r="J33" s="93">
        <v>7305.29</v>
      </c>
      <c r="K33" s="93">
        <v>9241.86</v>
      </c>
      <c r="L33" s="93">
        <v>14315.95</v>
      </c>
      <c r="M33" s="94">
        <v>240.75</v>
      </c>
      <c r="N33" s="94">
        <v>269.99</v>
      </c>
      <c r="O33" s="94">
        <v>555.83000000000004</v>
      </c>
      <c r="P33" s="94">
        <v>873.27</v>
      </c>
      <c r="Q33" s="94">
        <v>1053.47</v>
      </c>
      <c r="R33" s="94">
        <v>772.17</v>
      </c>
      <c r="S33" s="94">
        <v>678.1</v>
      </c>
      <c r="T33" s="94">
        <v>319.36</v>
      </c>
      <c r="U33" s="94">
        <v>927.31</v>
      </c>
      <c r="V33" s="94">
        <v>661.58</v>
      </c>
      <c r="W33" s="94">
        <v>427.78</v>
      </c>
      <c r="X33" s="94" t="s">
        <v>21</v>
      </c>
      <c r="Y33" s="94" t="s">
        <v>21</v>
      </c>
      <c r="Z33" s="93">
        <v>236.9</v>
      </c>
      <c r="AA33" s="93">
        <v>362.28</v>
      </c>
      <c r="AB33" s="93">
        <v>419.78</v>
      </c>
      <c r="AC33" s="93">
        <v>459.29</v>
      </c>
      <c r="AD33" s="93">
        <v>376.83</v>
      </c>
      <c r="AE33" s="93">
        <v>405.41</v>
      </c>
      <c r="AF33" s="94">
        <v>275.66000000000003</v>
      </c>
      <c r="AG33" s="94">
        <v>321.23</v>
      </c>
      <c r="AH33" s="94">
        <v>515.55999999999995</v>
      </c>
      <c r="AI33" s="94">
        <v>1319.78</v>
      </c>
      <c r="AJ33" s="94">
        <v>1122.82</v>
      </c>
      <c r="AK33" s="93">
        <v>5232.76</v>
      </c>
      <c r="AL33" s="93">
        <v>5763.09</v>
      </c>
      <c r="AM33" s="93">
        <v>6079.41</v>
      </c>
      <c r="AN33" s="93">
        <v>6701.96</v>
      </c>
      <c r="AO33" s="93">
        <v>6779.3</v>
      </c>
      <c r="AP33" s="93">
        <v>6558.08</v>
      </c>
      <c r="AQ33" s="93">
        <v>7944.62</v>
      </c>
      <c r="AR33" s="93">
        <v>7631.46</v>
      </c>
      <c r="AS33" s="93">
        <v>8748.16</v>
      </c>
      <c r="AT33" s="93">
        <v>11223</v>
      </c>
      <c r="AU33" s="94">
        <v>15866.55</v>
      </c>
    </row>
    <row r="34" spans="1:47" ht="13.5" customHeight="1">
      <c r="A34" s="92" t="s">
        <v>359</v>
      </c>
      <c r="B34" s="94">
        <v>4440.58</v>
      </c>
      <c r="C34" s="94">
        <v>4791.4399999999996</v>
      </c>
      <c r="D34" s="94">
        <v>4983</v>
      </c>
      <c r="E34" s="94">
        <v>5086.8</v>
      </c>
      <c r="F34" s="94">
        <v>5096</v>
      </c>
      <c r="G34" s="94">
        <v>5127.3</v>
      </c>
      <c r="H34" s="93">
        <v>6369.39</v>
      </c>
      <c r="I34" s="93">
        <v>6369.39</v>
      </c>
      <c r="J34" s="93">
        <v>6647.77</v>
      </c>
      <c r="K34" s="93">
        <v>6683.87</v>
      </c>
      <c r="L34" s="93">
        <v>8236.18</v>
      </c>
      <c r="M34" s="94">
        <v>230.86</v>
      </c>
      <c r="N34" s="94">
        <v>338.14</v>
      </c>
      <c r="O34" s="94">
        <v>633.20000000000005</v>
      </c>
      <c r="P34" s="94">
        <v>776.42</v>
      </c>
      <c r="Q34" s="94">
        <v>639.95000000000005</v>
      </c>
      <c r="R34" s="94">
        <v>752.87</v>
      </c>
      <c r="S34" s="94">
        <v>681.62</v>
      </c>
      <c r="T34" s="94">
        <v>428.12</v>
      </c>
      <c r="U34" s="94">
        <v>408.88</v>
      </c>
      <c r="V34" s="94">
        <v>536.4</v>
      </c>
      <c r="W34" s="94">
        <v>692.28</v>
      </c>
      <c r="X34" s="94" t="s">
        <v>21</v>
      </c>
      <c r="Y34" s="94" t="s">
        <v>21</v>
      </c>
      <c r="Z34" s="93">
        <v>279.32</v>
      </c>
      <c r="AA34" s="93">
        <v>472</v>
      </c>
      <c r="AB34" s="93">
        <v>450</v>
      </c>
      <c r="AC34" s="93">
        <v>371.15</v>
      </c>
      <c r="AD34" s="93">
        <v>393.42</v>
      </c>
      <c r="AE34" s="93">
        <v>346.09</v>
      </c>
      <c r="AF34" s="94">
        <v>264.89999999999998</v>
      </c>
      <c r="AG34" s="94">
        <v>312.47000000000003</v>
      </c>
      <c r="AH34" s="94">
        <v>450.1</v>
      </c>
      <c r="AI34" s="94">
        <v>13188.79</v>
      </c>
      <c r="AJ34" s="94">
        <v>651.94000000000005</v>
      </c>
      <c r="AK34" s="93">
        <v>4950.76</v>
      </c>
      <c r="AL34" s="93">
        <v>5601.58</v>
      </c>
      <c r="AM34" s="93">
        <v>6066.2</v>
      </c>
      <c r="AN34" s="93">
        <v>6234.37</v>
      </c>
      <c r="AO34" s="93">
        <v>6129.36</v>
      </c>
      <c r="AP34" s="93">
        <v>6226.25</v>
      </c>
      <c r="AQ34" s="93">
        <v>7315.91</v>
      </c>
      <c r="AR34" s="93">
        <v>7109.99</v>
      </c>
      <c r="AS34" s="93">
        <v>7506.75</v>
      </c>
      <c r="AT34" s="93">
        <v>20409</v>
      </c>
      <c r="AU34" s="94">
        <v>9580.39</v>
      </c>
    </row>
    <row r="35" spans="1:47" ht="13.5" customHeight="1">
      <c r="A35" s="92" t="s">
        <v>360</v>
      </c>
      <c r="B35" s="93">
        <v>3449.55</v>
      </c>
      <c r="C35" s="93">
        <v>3722.11</v>
      </c>
      <c r="D35" s="93">
        <v>4499.8</v>
      </c>
      <c r="E35" s="93">
        <v>4113.3999999999996</v>
      </c>
      <c r="F35" s="93">
        <v>4178</v>
      </c>
      <c r="G35" s="93">
        <v>4810.8</v>
      </c>
      <c r="H35" s="93">
        <v>5136.2700000000004</v>
      </c>
      <c r="I35" s="93">
        <v>5136.2700000000004</v>
      </c>
      <c r="J35" s="93">
        <v>5358.25</v>
      </c>
      <c r="K35" s="93">
        <v>3254.43</v>
      </c>
      <c r="L35" s="93">
        <v>5705.56</v>
      </c>
      <c r="M35" s="93">
        <v>212.48</v>
      </c>
      <c r="N35" s="93">
        <v>290.02999999999997</v>
      </c>
      <c r="O35" s="93">
        <v>498.22</v>
      </c>
      <c r="P35" s="93">
        <v>727.91</v>
      </c>
      <c r="Q35" s="93">
        <v>597.46</v>
      </c>
      <c r="R35" s="93">
        <v>715.83</v>
      </c>
      <c r="S35" s="94">
        <v>748.11</v>
      </c>
      <c r="T35" s="94">
        <v>211.22</v>
      </c>
      <c r="U35" s="94">
        <v>190.35</v>
      </c>
      <c r="V35" s="94">
        <v>405.83</v>
      </c>
      <c r="W35" s="94">
        <v>608.05999999999995</v>
      </c>
      <c r="X35" s="94">
        <v>1.52</v>
      </c>
      <c r="Y35" s="94" t="s">
        <v>21</v>
      </c>
      <c r="Z35" s="93">
        <v>471.15</v>
      </c>
      <c r="AA35" s="93">
        <v>670</v>
      </c>
      <c r="AB35" s="93">
        <v>700</v>
      </c>
      <c r="AC35" s="93">
        <v>550</v>
      </c>
      <c r="AD35" s="93">
        <v>1006.88</v>
      </c>
      <c r="AE35" s="93">
        <v>1006.88</v>
      </c>
      <c r="AF35" s="94">
        <v>894.88</v>
      </c>
      <c r="AG35" s="93">
        <v>1295.72</v>
      </c>
      <c r="AH35" s="93">
        <v>1475</v>
      </c>
      <c r="AI35" s="93">
        <v>3647.92</v>
      </c>
      <c r="AJ35" s="93">
        <v>1351</v>
      </c>
      <c r="AK35" s="93">
        <v>4133.18</v>
      </c>
      <c r="AL35" s="93">
        <v>4682.1400000000003</v>
      </c>
      <c r="AM35" s="93">
        <v>5698.02</v>
      </c>
      <c r="AN35" s="93">
        <v>5391.31</v>
      </c>
      <c r="AO35" s="93">
        <v>5782.33</v>
      </c>
      <c r="AP35" s="93">
        <v>6533.51</v>
      </c>
      <c r="AQ35" s="93">
        <v>6779.26</v>
      </c>
      <c r="AR35" s="93">
        <v>6643.2</v>
      </c>
      <c r="AS35" s="93">
        <v>7025.12</v>
      </c>
      <c r="AT35" s="93">
        <v>7308</v>
      </c>
      <c r="AU35" s="93">
        <v>7664.61</v>
      </c>
    </row>
    <row r="36" spans="1:47" ht="13.5" customHeight="1">
      <c r="A36" s="92" t="s">
        <v>361</v>
      </c>
      <c r="B36" s="93">
        <v>8116.33</v>
      </c>
      <c r="C36" s="93">
        <v>8757.6200000000008</v>
      </c>
      <c r="D36" s="93">
        <v>9271.4</v>
      </c>
      <c r="E36" s="93">
        <v>9451.4</v>
      </c>
      <c r="F36" s="93">
        <v>10476</v>
      </c>
      <c r="G36" s="93">
        <v>9748.2000000000007</v>
      </c>
      <c r="H36" s="93">
        <v>13026.12</v>
      </c>
      <c r="I36" s="93">
        <v>13026.12</v>
      </c>
      <c r="J36" s="93">
        <v>13593.42</v>
      </c>
      <c r="K36" s="93">
        <v>7346.07</v>
      </c>
      <c r="L36" s="93">
        <v>5640.96</v>
      </c>
      <c r="M36" s="93">
        <v>833.04</v>
      </c>
      <c r="N36" s="93">
        <v>853.5</v>
      </c>
      <c r="O36" s="93">
        <v>1127.24</v>
      </c>
      <c r="P36" s="93">
        <v>2320.92</v>
      </c>
      <c r="Q36" s="93">
        <v>2496.5500000000002</v>
      </c>
      <c r="R36" s="93">
        <v>1228.94</v>
      </c>
      <c r="S36" s="94">
        <v>972.58</v>
      </c>
      <c r="T36" s="94">
        <v>551.69000000000005</v>
      </c>
      <c r="U36" s="93">
        <v>1193.5899999999999</v>
      </c>
      <c r="V36" s="93">
        <v>1753.46</v>
      </c>
      <c r="W36" s="94">
        <v>777.96</v>
      </c>
      <c r="X36" s="94">
        <v>1.95</v>
      </c>
      <c r="Y36" s="94" t="s">
        <v>21</v>
      </c>
      <c r="Z36" s="93">
        <v>2295.46</v>
      </c>
      <c r="AA36" s="93">
        <v>2597.2600000000002</v>
      </c>
      <c r="AB36" s="93">
        <v>2500</v>
      </c>
      <c r="AC36" s="93">
        <v>2000</v>
      </c>
      <c r="AD36" s="93">
        <v>3100</v>
      </c>
      <c r="AE36" s="93">
        <v>1800</v>
      </c>
      <c r="AF36" s="93">
        <v>1707.45</v>
      </c>
      <c r="AG36" s="93">
        <v>1980</v>
      </c>
      <c r="AH36" s="93">
        <v>3600</v>
      </c>
      <c r="AI36" s="93">
        <v>765.7</v>
      </c>
      <c r="AJ36" s="93">
        <v>4575.8999999999996</v>
      </c>
      <c r="AK36" s="93">
        <v>11244.84</v>
      </c>
      <c r="AL36" s="93">
        <v>12208.39</v>
      </c>
      <c r="AM36" s="93">
        <v>12898.64</v>
      </c>
      <c r="AN36" s="93">
        <v>13772.32</v>
      </c>
      <c r="AO36" s="93">
        <v>16072.55</v>
      </c>
      <c r="AP36" s="93">
        <v>12777.14</v>
      </c>
      <c r="AQ36" s="93">
        <v>15706.15</v>
      </c>
      <c r="AR36" s="93">
        <v>15557.8</v>
      </c>
      <c r="AS36" s="93">
        <v>18388.97</v>
      </c>
      <c r="AT36" s="93">
        <v>9865</v>
      </c>
      <c r="AU36" s="93">
        <v>10994.83</v>
      </c>
    </row>
    <row r="37" spans="1:47" ht="13.5" customHeight="1">
      <c r="A37" s="92" t="s">
        <v>362</v>
      </c>
      <c r="B37" s="93">
        <v>5287.9</v>
      </c>
      <c r="C37" s="93">
        <v>5705.71</v>
      </c>
      <c r="D37" s="93">
        <v>6523.2</v>
      </c>
      <c r="E37" s="93">
        <v>6374.2</v>
      </c>
      <c r="F37" s="93">
        <v>8039</v>
      </c>
      <c r="G37" s="93">
        <v>7121.25</v>
      </c>
      <c r="H37" s="93">
        <v>8844.7900000000009</v>
      </c>
      <c r="I37" s="93">
        <v>8844.7900000000009</v>
      </c>
      <c r="J37" s="93">
        <v>9196.2800000000007</v>
      </c>
      <c r="K37" s="93">
        <v>5359.99</v>
      </c>
      <c r="L37" s="93">
        <v>9643.93</v>
      </c>
      <c r="M37" s="93">
        <v>239.06</v>
      </c>
      <c r="N37" s="93">
        <v>363.82</v>
      </c>
      <c r="O37" s="93">
        <v>655.98</v>
      </c>
      <c r="P37" s="93">
        <v>805.49</v>
      </c>
      <c r="Q37" s="93">
        <v>939.01</v>
      </c>
      <c r="R37" s="93">
        <v>785.35</v>
      </c>
      <c r="S37" s="94">
        <v>799.26</v>
      </c>
      <c r="T37" s="94">
        <v>391.96</v>
      </c>
      <c r="U37" s="94">
        <v>569.5</v>
      </c>
      <c r="V37" s="94">
        <v>397.25</v>
      </c>
      <c r="W37" s="94">
        <v>604.99</v>
      </c>
      <c r="X37" s="94" t="s">
        <v>21</v>
      </c>
      <c r="Y37" s="94" t="s">
        <v>21</v>
      </c>
      <c r="Z37" s="93">
        <v>1752.94</v>
      </c>
      <c r="AA37" s="93">
        <v>3623.47</v>
      </c>
      <c r="AB37" s="93">
        <v>4014.37</v>
      </c>
      <c r="AC37" s="93">
        <v>2485.21</v>
      </c>
      <c r="AD37" s="93">
        <v>2995.14</v>
      </c>
      <c r="AE37" s="93">
        <v>3133.92</v>
      </c>
      <c r="AF37" s="93">
        <v>1334.56</v>
      </c>
      <c r="AG37" s="93">
        <v>2430.83</v>
      </c>
      <c r="AH37" s="93">
        <v>4588.58</v>
      </c>
      <c r="AI37" s="93">
        <v>5665.06</v>
      </c>
      <c r="AJ37" s="93">
        <v>6326.42</v>
      </c>
      <c r="AK37" s="93">
        <v>7279.9</v>
      </c>
      <c r="AL37" s="93">
        <v>9693</v>
      </c>
      <c r="AM37" s="93">
        <v>11193.54</v>
      </c>
      <c r="AN37" s="93">
        <v>9664.9</v>
      </c>
      <c r="AO37" s="93">
        <v>11973.15</v>
      </c>
      <c r="AP37" s="93">
        <v>11040.52</v>
      </c>
      <c r="AQ37" s="93">
        <v>10978.62</v>
      </c>
      <c r="AR37" s="93">
        <v>11667.58</v>
      </c>
      <c r="AS37" s="93">
        <v>14354.36</v>
      </c>
      <c r="AT37" s="93">
        <v>11422</v>
      </c>
      <c r="AU37" s="93">
        <v>16575.34</v>
      </c>
    </row>
    <row r="38" spans="1:47" ht="13.5" customHeight="1">
      <c r="A38" s="92" t="s">
        <v>363</v>
      </c>
      <c r="B38" s="93">
        <v>4412.63</v>
      </c>
      <c r="C38" s="93">
        <v>4761.28</v>
      </c>
      <c r="D38" s="93">
        <v>5768.2</v>
      </c>
      <c r="E38" s="93">
        <v>5997.4</v>
      </c>
      <c r="F38" s="93">
        <v>6425</v>
      </c>
      <c r="G38" s="93">
        <v>6393.3</v>
      </c>
      <c r="H38" s="93">
        <v>7954.77</v>
      </c>
      <c r="I38" s="93">
        <v>7954.77</v>
      </c>
      <c r="J38" s="93">
        <v>8300.2099999999991</v>
      </c>
      <c r="K38" s="93">
        <v>12980.5</v>
      </c>
      <c r="L38" s="93">
        <v>7921.33</v>
      </c>
      <c r="M38" s="93">
        <v>217.68</v>
      </c>
      <c r="N38" s="93">
        <v>389.5</v>
      </c>
      <c r="O38" s="93">
        <v>510.52</v>
      </c>
      <c r="P38" s="93">
        <v>925.83</v>
      </c>
      <c r="Q38" s="93">
        <v>992.77</v>
      </c>
      <c r="R38" s="93">
        <v>939.28</v>
      </c>
      <c r="S38" s="94">
        <v>729.5</v>
      </c>
      <c r="T38" s="94">
        <v>225.96</v>
      </c>
      <c r="U38" s="94">
        <v>513.19000000000005</v>
      </c>
      <c r="V38" s="94">
        <v>757.33</v>
      </c>
      <c r="W38" s="94">
        <v>673.26</v>
      </c>
      <c r="X38" s="94" t="s">
        <v>21</v>
      </c>
      <c r="Y38" s="94" t="s">
        <v>21</v>
      </c>
      <c r="Z38" s="93">
        <v>650.98</v>
      </c>
      <c r="AA38" s="93">
        <v>1248.3699999999999</v>
      </c>
      <c r="AB38" s="93">
        <v>990.79</v>
      </c>
      <c r="AC38" s="93">
        <v>1583.86</v>
      </c>
      <c r="AD38" s="93">
        <v>1793.86</v>
      </c>
      <c r="AE38" s="93">
        <v>1500</v>
      </c>
      <c r="AF38" s="94">
        <v>527.94000000000005</v>
      </c>
      <c r="AG38" s="93">
        <v>1503.95</v>
      </c>
      <c r="AH38" s="93">
        <v>1515.7</v>
      </c>
      <c r="AI38" s="93">
        <v>741.13</v>
      </c>
      <c r="AJ38" s="93">
        <v>1680</v>
      </c>
      <c r="AK38" s="93">
        <v>5281.29</v>
      </c>
      <c r="AL38" s="93">
        <v>6399.15</v>
      </c>
      <c r="AM38" s="93">
        <v>7269.51</v>
      </c>
      <c r="AN38" s="93">
        <v>8507.09</v>
      </c>
      <c r="AO38" s="93">
        <v>9211.6299999999992</v>
      </c>
      <c r="AP38" s="93">
        <v>8832.58</v>
      </c>
      <c r="AQ38" s="93">
        <v>9212.2099999999991</v>
      </c>
      <c r="AR38" s="93">
        <v>9684.67</v>
      </c>
      <c r="AS38" s="93">
        <v>10329.1</v>
      </c>
      <c r="AT38" s="93">
        <v>14479</v>
      </c>
      <c r="AU38" s="93">
        <v>10274.59</v>
      </c>
    </row>
    <row r="39" spans="1:47" ht="13.5" customHeight="1">
      <c r="A39" s="92" t="s">
        <v>364</v>
      </c>
      <c r="B39" s="93">
        <v>4505.0600000000004</v>
      </c>
      <c r="C39" s="93">
        <v>4861.0200000000004</v>
      </c>
      <c r="D39" s="93">
        <v>5224.6000000000004</v>
      </c>
      <c r="E39" s="93">
        <v>5714.8</v>
      </c>
      <c r="F39" s="93">
        <v>5381</v>
      </c>
      <c r="G39" s="93">
        <v>5443.8</v>
      </c>
      <c r="H39" s="93">
        <v>6430.66</v>
      </c>
      <c r="I39" s="93">
        <v>6430.66</v>
      </c>
      <c r="J39" s="93">
        <v>6703.13</v>
      </c>
      <c r="K39" s="93">
        <v>12293.7</v>
      </c>
      <c r="L39" s="93">
        <v>10400.5</v>
      </c>
      <c r="M39" s="93">
        <v>269.5</v>
      </c>
      <c r="N39" s="93">
        <v>288.04000000000002</v>
      </c>
      <c r="O39" s="93">
        <v>464.75</v>
      </c>
      <c r="P39" s="93">
        <v>906.38</v>
      </c>
      <c r="Q39" s="93">
        <v>931.71</v>
      </c>
      <c r="R39" s="93">
        <v>780.03</v>
      </c>
      <c r="S39" s="94">
        <v>722.35</v>
      </c>
      <c r="T39" s="94">
        <v>222.65</v>
      </c>
      <c r="U39" s="94">
        <v>565.79</v>
      </c>
      <c r="V39" s="94">
        <v>375.9</v>
      </c>
      <c r="W39" s="94">
        <v>618.54</v>
      </c>
      <c r="X39" s="94" t="s">
        <v>21</v>
      </c>
      <c r="Y39" s="94" t="s">
        <v>21</v>
      </c>
      <c r="Z39" s="93">
        <v>434.4</v>
      </c>
      <c r="AA39" s="93">
        <v>620.35</v>
      </c>
      <c r="AB39" s="93">
        <v>735.97</v>
      </c>
      <c r="AC39" s="93">
        <v>762.94</v>
      </c>
      <c r="AD39" s="93">
        <v>913.94</v>
      </c>
      <c r="AE39" s="93">
        <v>644.05999999999995</v>
      </c>
      <c r="AF39" s="94">
        <v>566.82000000000005</v>
      </c>
      <c r="AG39" s="94">
        <v>325.07</v>
      </c>
      <c r="AH39" s="93">
        <v>1273.42</v>
      </c>
      <c r="AI39" s="93">
        <v>653.24</v>
      </c>
      <c r="AJ39" s="93">
        <v>1594.38</v>
      </c>
      <c r="AK39" s="93">
        <v>5208.97</v>
      </c>
      <c r="AL39" s="93">
        <v>5769.41</v>
      </c>
      <c r="AM39" s="93">
        <v>6425.32</v>
      </c>
      <c r="AN39" s="93">
        <v>7384.12</v>
      </c>
      <c r="AO39" s="93">
        <v>7226.64</v>
      </c>
      <c r="AP39" s="93">
        <v>6867.89</v>
      </c>
      <c r="AQ39" s="93">
        <v>7719.84</v>
      </c>
      <c r="AR39" s="93">
        <v>6978.39</v>
      </c>
      <c r="AS39" s="93">
        <v>8542.34</v>
      </c>
      <c r="AT39" s="93">
        <v>13323</v>
      </c>
      <c r="AU39" s="93">
        <v>12613.41</v>
      </c>
    </row>
    <row r="40" spans="1:47" ht="13.5" customHeight="1">
      <c r="A40" s="92" t="s">
        <v>365</v>
      </c>
      <c r="B40" s="94">
        <v>4706.8900000000003</v>
      </c>
      <c r="C40" s="94">
        <v>5078.8</v>
      </c>
      <c r="D40" s="94">
        <v>5254.8</v>
      </c>
      <c r="E40" s="94">
        <v>5934.6</v>
      </c>
      <c r="F40" s="94">
        <v>5507</v>
      </c>
      <c r="G40" s="94">
        <v>5507.1</v>
      </c>
      <c r="H40" s="93">
        <v>6691.1</v>
      </c>
      <c r="I40" s="93">
        <v>6691.1</v>
      </c>
      <c r="J40" s="93">
        <v>6977.92</v>
      </c>
      <c r="K40" s="93">
        <v>7015.12</v>
      </c>
      <c r="L40" s="93">
        <v>8989.77</v>
      </c>
      <c r="M40" s="94">
        <v>230.87</v>
      </c>
      <c r="N40" s="94">
        <v>258.04000000000002</v>
      </c>
      <c r="O40" s="94">
        <v>507.54</v>
      </c>
      <c r="P40" s="94">
        <v>855.09</v>
      </c>
      <c r="Q40" s="94">
        <v>809.61</v>
      </c>
      <c r="R40" s="94">
        <v>832.35</v>
      </c>
      <c r="S40" s="94">
        <v>806.48</v>
      </c>
      <c r="T40" s="94">
        <v>232.16</v>
      </c>
      <c r="U40" s="94">
        <v>548.98</v>
      </c>
      <c r="V40" s="94">
        <v>357.03</v>
      </c>
      <c r="W40" s="94">
        <v>374.94</v>
      </c>
      <c r="X40" s="94" t="s">
        <v>21</v>
      </c>
      <c r="Y40" s="94" t="s">
        <v>21</v>
      </c>
      <c r="Z40" s="93">
        <v>166.99</v>
      </c>
      <c r="AA40" s="93">
        <v>207.71</v>
      </c>
      <c r="AB40" s="93">
        <v>228.48</v>
      </c>
      <c r="AC40" s="93">
        <v>210.22</v>
      </c>
      <c r="AD40" s="93">
        <v>275.92</v>
      </c>
      <c r="AE40" s="93">
        <v>275.92</v>
      </c>
      <c r="AF40" s="94">
        <v>202.43</v>
      </c>
      <c r="AG40" s="94">
        <v>300</v>
      </c>
      <c r="AH40" s="94">
        <v>332.04</v>
      </c>
      <c r="AI40" s="94">
        <v>1453.08</v>
      </c>
      <c r="AJ40" s="94">
        <v>897.5</v>
      </c>
      <c r="AK40" s="93">
        <v>5104.75</v>
      </c>
      <c r="AL40" s="93">
        <v>5544.55</v>
      </c>
      <c r="AM40" s="93">
        <v>5990.82</v>
      </c>
      <c r="AN40" s="93">
        <v>6999.91</v>
      </c>
      <c r="AO40" s="93">
        <v>6592.53</v>
      </c>
      <c r="AP40" s="93">
        <v>6615.37</v>
      </c>
      <c r="AQ40" s="93">
        <v>7700.01</v>
      </c>
      <c r="AR40" s="93">
        <v>7223.26</v>
      </c>
      <c r="AS40" s="93">
        <v>7858.95</v>
      </c>
      <c r="AT40" s="93">
        <v>8825</v>
      </c>
      <c r="AU40" s="94">
        <v>10262.209999999999</v>
      </c>
    </row>
    <row r="41" spans="1:47" ht="13.5" customHeight="1">
      <c r="A41" s="92" t="s">
        <v>366</v>
      </c>
      <c r="B41" s="93">
        <v>8908.23</v>
      </c>
      <c r="C41" s="93">
        <v>9612.09</v>
      </c>
      <c r="D41" s="93">
        <v>9935.7999999999993</v>
      </c>
      <c r="E41" s="93">
        <v>10330.6</v>
      </c>
      <c r="F41" s="93">
        <v>10413</v>
      </c>
      <c r="G41" s="93">
        <v>10571.1</v>
      </c>
      <c r="H41" s="93">
        <v>12389.41</v>
      </c>
      <c r="I41" s="93">
        <v>12389.41</v>
      </c>
      <c r="J41" s="93">
        <v>12912.65</v>
      </c>
      <c r="K41" s="93">
        <v>6738.47</v>
      </c>
      <c r="L41" s="93">
        <v>5139.3100000000004</v>
      </c>
      <c r="M41" s="93">
        <v>805.42</v>
      </c>
      <c r="N41" s="93">
        <v>917.92</v>
      </c>
      <c r="O41" s="93">
        <v>1227.6099999999999</v>
      </c>
      <c r="P41" s="93">
        <v>1709.92</v>
      </c>
      <c r="Q41" s="93">
        <v>1706.86</v>
      </c>
      <c r="R41" s="93">
        <v>1545.69</v>
      </c>
      <c r="S41" s="94">
        <v>844.39</v>
      </c>
      <c r="T41" s="94">
        <v>259.38</v>
      </c>
      <c r="U41" s="93">
        <v>1012.69</v>
      </c>
      <c r="V41" s="94">
        <v>711.71</v>
      </c>
      <c r="W41" s="94">
        <v>790.09</v>
      </c>
      <c r="X41" s="94" t="s">
        <v>21</v>
      </c>
      <c r="Y41" s="94" t="s">
        <v>21</v>
      </c>
      <c r="Z41" s="93">
        <v>504.24</v>
      </c>
      <c r="AA41" s="93">
        <v>894.07</v>
      </c>
      <c r="AB41" s="93">
        <v>952.57</v>
      </c>
      <c r="AC41" s="93">
        <v>1043.6199999999999</v>
      </c>
      <c r="AD41" s="93">
        <v>1157.46</v>
      </c>
      <c r="AE41" s="93">
        <v>2113</v>
      </c>
      <c r="AF41" s="93">
        <v>1226.08</v>
      </c>
      <c r="AG41" s="93">
        <v>2000</v>
      </c>
      <c r="AH41" s="93">
        <v>2200</v>
      </c>
      <c r="AI41" s="93">
        <v>309.83</v>
      </c>
      <c r="AJ41" s="93">
        <v>2200</v>
      </c>
      <c r="AK41" s="93">
        <v>10217.89</v>
      </c>
      <c r="AL41" s="93">
        <v>11424.09</v>
      </c>
      <c r="AM41" s="93">
        <v>12115.98</v>
      </c>
      <c r="AN41" s="93">
        <v>13084.14</v>
      </c>
      <c r="AO41" s="93">
        <v>13277.31</v>
      </c>
      <c r="AP41" s="93">
        <v>14229.79</v>
      </c>
      <c r="AQ41" s="93">
        <v>14459.88</v>
      </c>
      <c r="AR41" s="93">
        <v>14648.8</v>
      </c>
      <c r="AS41" s="93">
        <v>16125.34</v>
      </c>
      <c r="AT41" s="93">
        <v>7760</v>
      </c>
      <c r="AU41" s="93">
        <v>8129.4</v>
      </c>
    </row>
    <row r="42" spans="1:47" ht="13.5" customHeight="1">
      <c r="A42" s="92" t="s">
        <v>367</v>
      </c>
      <c r="B42" s="94">
        <v>3871.41</v>
      </c>
      <c r="C42" s="94">
        <v>4177.3</v>
      </c>
      <c r="D42" s="94">
        <v>4409.2</v>
      </c>
      <c r="E42" s="94">
        <v>4458.8</v>
      </c>
      <c r="F42" s="94">
        <v>4653</v>
      </c>
      <c r="G42" s="94">
        <v>4525.95</v>
      </c>
      <c r="H42" s="93">
        <v>5067.3599999999997</v>
      </c>
      <c r="I42" s="93">
        <v>5067.3599999999997</v>
      </c>
      <c r="J42" s="93">
        <v>5267.03</v>
      </c>
      <c r="K42" s="93">
        <v>5292.92</v>
      </c>
      <c r="L42" s="93">
        <v>9722.58</v>
      </c>
      <c r="M42" s="94">
        <v>225.76</v>
      </c>
      <c r="N42" s="94">
        <v>246.49</v>
      </c>
      <c r="O42" s="94">
        <v>520.87</v>
      </c>
      <c r="P42" s="94">
        <v>906.78</v>
      </c>
      <c r="Q42" s="94">
        <v>1149.23</v>
      </c>
      <c r="R42" s="94">
        <v>737.84</v>
      </c>
      <c r="S42" s="94">
        <v>570.61</v>
      </c>
      <c r="T42" s="94">
        <v>212.84</v>
      </c>
      <c r="U42" s="94">
        <v>490.41</v>
      </c>
      <c r="V42" s="94">
        <v>318.8</v>
      </c>
      <c r="W42" s="94">
        <v>586.66</v>
      </c>
      <c r="X42" s="94" t="s">
        <v>21</v>
      </c>
      <c r="Y42" s="94" t="s">
        <v>21</v>
      </c>
      <c r="Z42" s="93">
        <v>138.94</v>
      </c>
      <c r="AA42" s="93">
        <v>220</v>
      </c>
      <c r="AB42" s="93">
        <v>220</v>
      </c>
      <c r="AC42" s="93">
        <v>153.66999999999999</v>
      </c>
      <c r="AD42" s="93">
        <v>192.09</v>
      </c>
      <c r="AE42" s="93">
        <v>216.1</v>
      </c>
      <c r="AF42" s="94">
        <v>236.27</v>
      </c>
      <c r="AG42" s="94">
        <v>158.47</v>
      </c>
      <c r="AH42" s="94">
        <v>300.55</v>
      </c>
      <c r="AI42" s="94">
        <v>436.68</v>
      </c>
      <c r="AJ42" s="94">
        <v>444.13</v>
      </c>
      <c r="AK42" s="93">
        <v>4236.1099999999997</v>
      </c>
      <c r="AL42" s="93">
        <v>4643.79</v>
      </c>
      <c r="AM42" s="93">
        <v>5150.07</v>
      </c>
      <c r="AN42" s="93">
        <v>5519.25</v>
      </c>
      <c r="AO42" s="93">
        <v>5994.32</v>
      </c>
      <c r="AP42" s="93">
        <v>5479.89</v>
      </c>
      <c r="AQ42" s="93">
        <v>5874.23</v>
      </c>
      <c r="AR42" s="93">
        <v>5438.67</v>
      </c>
      <c r="AS42" s="93">
        <v>6057.98</v>
      </c>
      <c r="AT42" s="93">
        <v>6048</v>
      </c>
      <c r="AU42" s="94">
        <v>10753.37</v>
      </c>
    </row>
    <row r="43" spans="1:47" ht="13.5" customHeight="1">
      <c r="A43" s="92" t="s">
        <v>368</v>
      </c>
      <c r="B43" s="93">
        <v>7675.73</v>
      </c>
      <c r="C43" s="93">
        <v>8282.2099999999991</v>
      </c>
      <c r="D43" s="93">
        <v>8758</v>
      </c>
      <c r="E43" s="93">
        <v>8949</v>
      </c>
      <c r="F43" s="93">
        <v>8894</v>
      </c>
      <c r="G43" s="93">
        <v>8956.9500000000007</v>
      </c>
      <c r="H43" s="93">
        <v>10659.44</v>
      </c>
      <c r="I43" s="93">
        <v>10659.44</v>
      </c>
      <c r="J43" s="93">
        <v>11111.98</v>
      </c>
      <c r="K43" s="93">
        <v>11170.67</v>
      </c>
      <c r="L43" s="93">
        <v>12704.75</v>
      </c>
      <c r="M43" s="93">
        <v>401.9</v>
      </c>
      <c r="N43" s="93">
        <v>453.23</v>
      </c>
      <c r="O43" s="93">
        <v>830.71</v>
      </c>
      <c r="P43" s="93">
        <v>1163.06</v>
      </c>
      <c r="Q43" s="93">
        <v>1429.49</v>
      </c>
      <c r="R43" s="93">
        <v>876.59</v>
      </c>
      <c r="S43" s="94">
        <v>696.07</v>
      </c>
      <c r="T43" s="94">
        <v>192.64</v>
      </c>
      <c r="U43" s="93">
        <v>1218.67</v>
      </c>
      <c r="V43" s="93">
        <v>1025.07</v>
      </c>
      <c r="W43" s="94">
        <v>517.87</v>
      </c>
      <c r="X43" s="94" t="s">
        <v>21</v>
      </c>
      <c r="Y43" s="94" t="s">
        <v>21</v>
      </c>
      <c r="Z43" s="93">
        <v>630.99</v>
      </c>
      <c r="AA43" s="93">
        <v>731.9</v>
      </c>
      <c r="AB43" s="93">
        <v>731.9</v>
      </c>
      <c r="AC43" s="93">
        <v>1101</v>
      </c>
      <c r="AD43" s="93">
        <v>878.66</v>
      </c>
      <c r="AE43" s="93">
        <v>700</v>
      </c>
      <c r="AF43" s="94">
        <v>368.04</v>
      </c>
      <c r="AG43" s="94">
        <v>700</v>
      </c>
      <c r="AH43" s="93">
        <v>2043.37</v>
      </c>
      <c r="AI43" s="93">
        <v>547.99</v>
      </c>
      <c r="AJ43" s="93">
        <v>2071.73</v>
      </c>
      <c r="AK43" s="93">
        <v>8708.61</v>
      </c>
      <c r="AL43" s="93">
        <v>9467.33</v>
      </c>
      <c r="AM43" s="93">
        <v>10320.61</v>
      </c>
      <c r="AN43" s="93">
        <v>11213.06</v>
      </c>
      <c r="AO43" s="93">
        <v>11202.15</v>
      </c>
      <c r="AP43" s="93">
        <v>10533.54</v>
      </c>
      <c r="AQ43" s="93">
        <v>11723.54</v>
      </c>
      <c r="AR43" s="93">
        <v>11552.08</v>
      </c>
      <c r="AS43" s="93">
        <v>14374.02</v>
      </c>
      <c r="AT43" s="93">
        <v>12744</v>
      </c>
      <c r="AU43" s="93">
        <v>15294.35</v>
      </c>
    </row>
    <row r="44" spans="1:47" ht="13.5" customHeight="1">
      <c r="A44" s="92" t="s">
        <v>369</v>
      </c>
      <c r="B44" s="94">
        <v>5440.25</v>
      </c>
      <c r="C44" s="94">
        <v>5870.1</v>
      </c>
      <c r="D44" s="94">
        <v>5828.6</v>
      </c>
      <c r="E44" s="94">
        <v>5966</v>
      </c>
      <c r="F44" s="94">
        <v>6014</v>
      </c>
      <c r="G44" s="94">
        <v>6108.45</v>
      </c>
      <c r="H44" s="93">
        <v>7172.16</v>
      </c>
      <c r="I44" s="93">
        <v>7172.16</v>
      </c>
      <c r="J44" s="93">
        <v>7475.59</v>
      </c>
      <c r="K44" s="93">
        <v>7514.94</v>
      </c>
      <c r="L44" s="93">
        <v>7124.76</v>
      </c>
      <c r="M44" s="94">
        <v>275.99</v>
      </c>
      <c r="N44" s="94">
        <v>301.82</v>
      </c>
      <c r="O44" s="94">
        <v>563.41</v>
      </c>
      <c r="P44" s="94">
        <v>807.6</v>
      </c>
      <c r="Q44" s="94">
        <v>836.92</v>
      </c>
      <c r="R44" s="94">
        <v>865.23</v>
      </c>
      <c r="S44" s="94">
        <v>600.42999999999995</v>
      </c>
      <c r="T44" s="94">
        <v>274.74</v>
      </c>
      <c r="U44" s="94">
        <v>871.2</v>
      </c>
      <c r="V44" s="94">
        <v>652.88</v>
      </c>
      <c r="W44" s="94">
        <v>444.51</v>
      </c>
      <c r="X44" s="94" t="s">
        <v>21</v>
      </c>
      <c r="Y44" s="94" t="s">
        <v>21</v>
      </c>
      <c r="Z44" s="93">
        <v>334.22</v>
      </c>
      <c r="AA44" s="93">
        <v>587.51</v>
      </c>
      <c r="AB44" s="93">
        <v>612.16</v>
      </c>
      <c r="AC44" s="93">
        <v>452.52</v>
      </c>
      <c r="AD44" s="93">
        <v>454.5</v>
      </c>
      <c r="AE44" s="93">
        <v>350</v>
      </c>
      <c r="AF44" s="94">
        <v>292.74</v>
      </c>
      <c r="AG44" s="94">
        <v>469.16</v>
      </c>
      <c r="AH44" s="94">
        <v>549.02</v>
      </c>
      <c r="AI44" s="94">
        <v>203.23</v>
      </c>
      <c r="AJ44" s="94">
        <v>999.76</v>
      </c>
      <c r="AK44" s="93">
        <v>6050.46</v>
      </c>
      <c r="AL44" s="93">
        <v>6759.42</v>
      </c>
      <c r="AM44" s="93">
        <v>7004.16</v>
      </c>
      <c r="AN44" s="93">
        <v>7226.12</v>
      </c>
      <c r="AO44" s="93">
        <v>7305.42</v>
      </c>
      <c r="AP44" s="93">
        <v>7323.68</v>
      </c>
      <c r="AQ44" s="93">
        <v>8065.33</v>
      </c>
      <c r="AR44" s="93">
        <v>7916.06</v>
      </c>
      <c r="AS44" s="93">
        <v>8895.7999999999993</v>
      </c>
      <c r="AT44" s="93">
        <v>8371</v>
      </c>
      <c r="AU44" s="94">
        <v>8569.0300000000007</v>
      </c>
    </row>
    <row r="45" spans="1:47" ht="13.5" customHeight="1">
      <c r="A45" s="92" t="s">
        <v>370</v>
      </c>
      <c r="B45" s="93">
        <v>4995.3</v>
      </c>
      <c r="C45" s="93">
        <v>5389.99</v>
      </c>
      <c r="D45" s="93">
        <v>5526.6</v>
      </c>
      <c r="E45" s="93">
        <v>6028.8</v>
      </c>
      <c r="F45" s="93">
        <v>5792</v>
      </c>
      <c r="G45" s="93">
        <v>5855.25</v>
      </c>
      <c r="H45" s="93">
        <v>6966.51</v>
      </c>
      <c r="I45" s="93">
        <v>6966.51</v>
      </c>
      <c r="J45" s="93">
        <v>7263.02</v>
      </c>
      <c r="K45" s="93">
        <v>5066.1400000000003</v>
      </c>
      <c r="L45" s="93">
        <v>5521.33</v>
      </c>
      <c r="M45" s="93">
        <v>306.92</v>
      </c>
      <c r="N45" s="93">
        <v>323.94</v>
      </c>
      <c r="O45" s="93">
        <v>527.57000000000005</v>
      </c>
      <c r="P45" s="93">
        <v>703.79</v>
      </c>
      <c r="Q45" s="93">
        <v>750.54</v>
      </c>
      <c r="R45" s="93">
        <v>870.51</v>
      </c>
      <c r="S45" s="94">
        <v>693.45</v>
      </c>
      <c r="T45" s="94">
        <v>223.75</v>
      </c>
      <c r="U45" s="94">
        <v>859.43</v>
      </c>
      <c r="V45" s="94">
        <v>475.63</v>
      </c>
      <c r="W45" s="94">
        <v>451.12</v>
      </c>
      <c r="X45" s="94" t="s">
        <v>21</v>
      </c>
      <c r="Y45" s="94" t="s">
        <v>21</v>
      </c>
      <c r="Z45" s="93">
        <v>127.93</v>
      </c>
      <c r="AA45" s="93">
        <v>270</v>
      </c>
      <c r="AB45" s="93">
        <v>270</v>
      </c>
      <c r="AC45" s="93">
        <v>275</v>
      </c>
      <c r="AD45" s="93">
        <v>420</v>
      </c>
      <c r="AE45" s="93">
        <v>1100</v>
      </c>
      <c r="AF45" s="94">
        <v>434.38</v>
      </c>
      <c r="AG45" s="94">
        <v>581</v>
      </c>
      <c r="AH45" s="94">
        <v>760</v>
      </c>
      <c r="AI45" s="93">
        <v>481.79</v>
      </c>
      <c r="AJ45" s="93">
        <v>3114.92</v>
      </c>
      <c r="AK45" s="93">
        <v>5430.15</v>
      </c>
      <c r="AL45" s="93">
        <v>5983.93</v>
      </c>
      <c r="AM45" s="93">
        <v>6324.17</v>
      </c>
      <c r="AN45" s="93">
        <v>7007.59</v>
      </c>
      <c r="AO45" s="93">
        <v>6962.54</v>
      </c>
      <c r="AP45" s="93">
        <v>7825.76</v>
      </c>
      <c r="AQ45" s="93">
        <v>8094.33</v>
      </c>
      <c r="AR45" s="93">
        <v>7771.26</v>
      </c>
      <c r="AS45" s="93">
        <v>8882.4500000000007</v>
      </c>
      <c r="AT45" s="93">
        <v>6024</v>
      </c>
      <c r="AU45" s="93">
        <v>9087.3700000000008</v>
      </c>
    </row>
    <row r="46" spans="1:47" ht="13.5" customHeight="1">
      <c r="A46" s="92" t="s">
        <v>371</v>
      </c>
      <c r="B46" s="93">
        <v>5681.27</v>
      </c>
      <c r="C46" s="93">
        <v>6130.16</v>
      </c>
      <c r="D46" s="93">
        <v>6553.4</v>
      </c>
      <c r="E46" s="93">
        <v>6908</v>
      </c>
      <c r="F46" s="93">
        <v>6836</v>
      </c>
      <c r="G46" s="93">
        <v>6836.4</v>
      </c>
      <c r="H46" s="93">
        <v>8026.14</v>
      </c>
      <c r="I46" s="93">
        <v>8026.14</v>
      </c>
      <c r="J46" s="93">
        <v>8361.7999999999993</v>
      </c>
      <c r="K46" s="93">
        <v>10885.97</v>
      </c>
      <c r="L46" s="93">
        <v>8866.42</v>
      </c>
      <c r="M46" s="93">
        <v>652.9</v>
      </c>
      <c r="N46" s="93">
        <v>719.54</v>
      </c>
      <c r="O46" s="93">
        <v>961.75</v>
      </c>
      <c r="P46" s="93">
        <v>1933.4</v>
      </c>
      <c r="Q46" s="93">
        <v>1877.54</v>
      </c>
      <c r="R46" s="93">
        <v>1215.05</v>
      </c>
      <c r="S46" s="94">
        <v>922.93</v>
      </c>
      <c r="T46" s="94">
        <v>517.82000000000005</v>
      </c>
      <c r="U46" s="94">
        <v>843.29</v>
      </c>
      <c r="V46" s="93">
        <v>1616.61</v>
      </c>
      <c r="W46" s="94">
        <v>459.71</v>
      </c>
      <c r="X46" s="94">
        <v>0.23</v>
      </c>
      <c r="Y46" s="94">
        <v>7.0000000000000007E-2</v>
      </c>
      <c r="Z46" s="93">
        <v>978.89</v>
      </c>
      <c r="AA46" s="93">
        <v>1584.99</v>
      </c>
      <c r="AB46" s="93">
        <v>1395.26</v>
      </c>
      <c r="AC46" s="93">
        <v>1382.57</v>
      </c>
      <c r="AD46" s="93">
        <v>1438.48</v>
      </c>
      <c r="AE46" s="93">
        <v>1579.17</v>
      </c>
      <c r="AF46" s="94">
        <v>982.79</v>
      </c>
      <c r="AG46" s="93">
        <v>1762.23</v>
      </c>
      <c r="AH46" s="93">
        <v>2282.84</v>
      </c>
      <c r="AI46" s="93">
        <v>539.91999999999996</v>
      </c>
      <c r="AJ46" s="93">
        <v>3541.31</v>
      </c>
      <c r="AK46" s="93">
        <v>7313.05</v>
      </c>
      <c r="AL46" s="93">
        <v>8434.68</v>
      </c>
      <c r="AM46" s="93">
        <v>8910.4</v>
      </c>
      <c r="AN46" s="93">
        <v>10223.969999999999</v>
      </c>
      <c r="AO46" s="93">
        <v>10152.02</v>
      </c>
      <c r="AP46" s="93">
        <v>9630.6200000000008</v>
      </c>
      <c r="AQ46" s="93">
        <v>9931.86</v>
      </c>
      <c r="AR46" s="93">
        <v>10306.19</v>
      </c>
      <c r="AS46" s="93">
        <v>11488.17</v>
      </c>
      <c r="AT46" s="93">
        <v>13042</v>
      </c>
      <c r="AU46" s="93">
        <v>12867.44</v>
      </c>
    </row>
    <row r="47" spans="1:47" ht="13.5" customHeight="1">
      <c r="A47" s="92" t="s">
        <v>372</v>
      </c>
      <c r="B47" s="93">
        <v>5634.96</v>
      </c>
      <c r="C47" s="93">
        <v>6080.19</v>
      </c>
      <c r="D47" s="93">
        <v>6523.2</v>
      </c>
      <c r="E47" s="93">
        <v>6688.2</v>
      </c>
      <c r="F47" s="93">
        <v>6741</v>
      </c>
      <c r="G47" s="93">
        <v>6741.45</v>
      </c>
      <c r="H47" s="93">
        <v>7805.35</v>
      </c>
      <c r="I47" s="93">
        <v>7805.35</v>
      </c>
      <c r="J47" s="93">
        <v>8128.39</v>
      </c>
      <c r="K47" s="93">
        <v>8170.28</v>
      </c>
      <c r="L47" s="93">
        <v>10336.26</v>
      </c>
      <c r="M47" s="93">
        <v>320.88</v>
      </c>
      <c r="N47" s="93">
        <v>352.91</v>
      </c>
      <c r="O47" s="93">
        <v>658.74</v>
      </c>
      <c r="P47" s="93">
        <v>861.94</v>
      </c>
      <c r="Q47" s="93">
        <v>980.43</v>
      </c>
      <c r="R47" s="93">
        <v>719.52</v>
      </c>
      <c r="S47" s="94">
        <v>607.76</v>
      </c>
      <c r="T47" s="94">
        <v>472.24</v>
      </c>
      <c r="U47" s="93">
        <v>1341.77</v>
      </c>
      <c r="V47" s="93">
        <v>1600.95</v>
      </c>
      <c r="W47" s="94">
        <v>517.51</v>
      </c>
      <c r="X47" s="94" t="s">
        <v>21</v>
      </c>
      <c r="Y47" s="94" t="s">
        <v>21</v>
      </c>
      <c r="Z47" s="93">
        <v>183.77</v>
      </c>
      <c r="AA47" s="93">
        <v>233.54</v>
      </c>
      <c r="AB47" s="93">
        <v>209.46</v>
      </c>
      <c r="AC47" s="93">
        <v>173</v>
      </c>
      <c r="AD47" s="93">
        <v>207.59</v>
      </c>
      <c r="AE47" s="93">
        <v>385.51</v>
      </c>
      <c r="AF47" s="94">
        <v>146.63999999999999</v>
      </c>
      <c r="AG47" s="94">
        <v>191.08</v>
      </c>
      <c r="AH47" s="93">
        <v>2378.9499999999998</v>
      </c>
      <c r="AI47" s="93">
        <v>400.83</v>
      </c>
      <c r="AJ47" s="93">
        <v>1631.09</v>
      </c>
      <c r="AK47" s="93">
        <v>6139.61</v>
      </c>
      <c r="AL47" s="93">
        <v>6666.64</v>
      </c>
      <c r="AM47" s="93">
        <v>7391.4</v>
      </c>
      <c r="AN47" s="93">
        <v>7723.14</v>
      </c>
      <c r="AO47" s="93">
        <v>7929.02</v>
      </c>
      <c r="AP47" s="93">
        <v>7846.48</v>
      </c>
      <c r="AQ47" s="93">
        <v>8559.76</v>
      </c>
      <c r="AR47" s="93">
        <v>8468.67</v>
      </c>
      <c r="AS47" s="93">
        <v>11849.11</v>
      </c>
      <c r="AT47" s="93">
        <v>10172</v>
      </c>
      <c r="AU47" s="93">
        <v>12484.86</v>
      </c>
    </row>
    <row r="48" spans="1:47" ht="13.5" customHeight="1">
      <c r="A48" s="92" t="s">
        <v>373</v>
      </c>
      <c r="B48" s="94">
        <v>5836.85</v>
      </c>
      <c r="C48" s="94">
        <v>6298.04</v>
      </c>
      <c r="D48" s="94">
        <v>6462.8</v>
      </c>
      <c r="E48" s="94">
        <v>6719.6</v>
      </c>
      <c r="F48" s="94">
        <v>6773</v>
      </c>
      <c r="G48" s="94">
        <v>6868.05</v>
      </c>
      <c r="H48" s="93">
        <v>8005.02</v>
      </c>
      <c r="I48" s="93">
        <v>8005.02</v>
      </c>
      <c r="J48" s="93">
        <v>8341.4500000000007</v>
      </c>
      <c r="K48" s="93">
        <v>7899.67</v>
      </c>
      <c r="L48" s="93">
        <v>8881.02</v>
      </c>
      <c r="M48" s="94">
        <v>356.31</v>
      </c>
      <c r="N48" s="94">
        <v>535.19000000000005</v>
      </c>
      <c r="O48" s="94">
        <v>746.9</v>
      </c>
      <c r="P48" s="94">
        <v>1350.41</v>
      </c>
      <c r="Q48" s="94">
        <v>1441.38</v>
      </c>
      <c r="R48" s="94">
        <v>745.25</v>
      </c>
      <c r="S48" s="94">
        <v>544.39</v>
      </c>
      <c r="T48" s="94">
        <v>269.25</v>
      </c>
      <c r="U48" s="94">
        <v>871.28</v>
      </c>
      <c r="V48" s="94">
        <v>673.9</v>
      </c>
      <c r="W48" s="94">
        <v>410.51</v>
      </c>
      <c r="X48" s="94">
        <v>0.97</v>
      </c>
      <c r="Y48" s="94" t="s">
        <v>21</v>
      </c>
      <c r="Z48" s="93">
        <v>339.37</v>
      </c>
      <c r="AA48" s="93">
        <v>420</v>
      </c>
      <c r="AB48" s="93">
        <v>450</v>
      </c>
      <c r="AC48" s="93">
        <v>450</v>
      </c>
      <c r="AD48" s="93">
        <v>450</v>
      </c>
      <c r="AE48" s="93">
        <v>292</v>
      </c>
      <c r="AF48" s="94">
        <v>386.87</v>
      </c>
      <c r="AG48" s="94">
        <v>350</v>
      </c>
      <c r="AH48" s="94">
        <v>600</v>
      </c>
      <c r="AI48" s="94">
        <v>1243.44</v>
      </c>
      <c r="AJ48" s="94">
        <v>753</v>
      </c>
      <c r="AK48" s="93">
        <v>6532.54</v>
      </c>
      <c r="AL48" s="93">
        <v>7253.22</v>
      </c>
      <c r="AM48" s="93">
        <v>7659.7</v>
      </c>
      <c r="AN48" s="93">
        <v>8520.01</v>
      </c>
      <c r="AO48" s="93">
        <v>8664.3799999999992</v>
      </c>
      <c r="AP48" s="93">
        <v>7905.3</v>
      </c>
      <c r="AQ48" s="93">
        <v>8936.2800000000007</v>
      </c>
      <c r="AR48" s="93">
        <v>8624.27</v>
      </c>
      <c r="AS48" s="93">
        <v>9813.7000000000007</v>
      </c>
      <c r="AT48" s="93">
        <v>9817</v>
      </c>
      <c r="AU48" s="94">
        <v>10044.530000000001</v>
      </c>
    </row>
    <row r="49" spans="1:47" ht="13.5" customHeight="1">
      <c r="A49" s="92" t="s">
        <v>374</v>
      </c>
      <c r="B49" s="93">
        <v>7093.63</v>
      </c>
      <c r="C49" s="93">
        <v>7654.11</v>
      </c>
      <c r="D49" s="93">
        <v>7429.2</v>
      </c>
      <c r="E49" s="93">
        <v>7693</v>
      </c>
      <c r="F49" s="93">
        <v>7786</v>
      </c>
      <c r="G49" s="93">
        <v>7817.55</v>
      </c>
      <c r="H49" s="93">
        <v>8894.27</v>
      </c>
      <c r="I49" s="93">
        <v>8894.27</v>
      </c>
      <c r="J49" s="93">
        <v>9258.59</v>
      </c>
      <c r="K49" s="93">
        <v>8405.33</v>
      </c>
      <c r="L49" s="93">
        <v>10037.620000000001</v>
      </c>
      <c r="M49" s="93">
        <v>746.03</v>
      </c>
      <c r="N49" s="93">
        <v>817.59</v>
      </c>
      <c r="O49" s="93">
        <v>1143.79</v>
      </c>
      <c r="P49" s="93">
        <v>1444.67</v>
      </c>
      <c r="Q49" s="93">
        <v>1555.93</v>
      </c>
      <c r="R49" s="93">
        <v>1266.83</v>
      </c>
      <c r="S49" s="94">
        <v>728.94</v>
      </c>
      <c r="T49" s="94">
        <v>285.36</v>
      </c>
      <c r="U49" s="94">
        <v>684.62</v>
      </c>
      <c r="V49" s="94">
        <v>704.51</v>
      </c>
      <c r="W49" s="94">
        <v>709.46</v>
      </c>
      <c r="X49" s="94" t="s">
        <v>21</v>
      </c>
      <c r="Y49" s="94" t="s">
        <v>21</v>
      </c>
      <c r="Z49" s="93">
        <v>306.13</v>
      </c>
      <c r="AA49" s="93">
        <v>750</v>
      </c>
      <c r="AB49" s="93">
        <v>850</v>
      </c>
      <c r="AC49" s="93">
        <v>950</v>
      </c>
      <c r="AD49" s="93">
        <v>500</v>
      </c>
      <c r="AE49" s="93">
        <v>650</v>
      </c>
      <c r="AF49" s="94">
        <v>404.55</v>
      </c>
      <c r="AG49" s="94">
        <v>650</v>
      </c>
      <c r="AH49" s="93">
        <v>1747.7</v>
      </c>
      <c r="AI49" s="93">
        <v>397.86</v>
      </c>
      <c r="AJ49" s="93">
        <v>3167</v>
      </c>
      <c r="AK49" s="93">
        <v>8145.79</v>
      </c>
      <c r="AL49" s="93">
        <v>9221.7099999999991</v>
      </c>
      <c r="AM49" s="93">
        <v>9422.99</v>
      </c>
      <c r="AN49" s="93">
        <v>10087.67</v>
      </c>
      <c r="AO49" s="93">
        <v>9841.93</v>
      </c>
      <c r="AP49" s="93">
        <v>9734.3799999999992</v>
      </c>
      <c r="AQ49" s="93">
        <v>10027.77</v>
      </c>
      <c r="AR49" s="93">
        <v>9829.64</v>
      </c>
      <c r="AS49" s="93">
        <v>11690.91</v>
      </c>
      <c r="AT49" s="93">
        <v>9508</v>
      </c>
      <c r="AU49" s="93">
        <v>13914.08</v>
      </c>
    </row>
    <row r="50" spans="1:47" ht="13.5" customHeight="1">
      <c r="A50" s="92" t="s">
        <v>375</v>
      </c>
      <c r="B50" s="94">
        <v>4154.54</v>
      </c>
      <c r="C50" s="94">
        <v>4482.8</v>
      </c>
      <c r="D50" s="94">
        <v>4620.6000000000004</v>
      </c>
      <c r="E50" s="94">
        <v>4772.8</v>
      </c>
      <c r="F50" s="94">
        <v>4811</v>
      </c>
      <c r="G50" s="94">
        <v>4905.75</v>
      </c>
      <c r="H50" s="93">
        <v>5135.34</v>
      </c>
      <c r="I50" s="93">
        <v>5135.34</v>
      </c>
      <c r="J50" s="93">
        <v>5334.2</v>
      </c>
      <c r="K50" s="93">
        <v>5936.52</v>
      </c>
      <c r="L50" s="93">
        <v>8740.17</v>
      </c>
      <c r="M50" s="94">
        <v>242.41</v>
      </c>
      <c r="N50" s="94">
        <v>270.33999999999997</v>
      </c>
      <c r="O50" s="94">
        <v>519.20000000000005</v>
      </c>
      <c r="P50" s="94">
        <v>754.77</v>
      </c>
      <c r="Q50" s="94">
        <v>918.41</v>
      </c>
      <c r="R50" s="94">
        <v>900.98</v>
      </c>
      <c r="S50" s="94">
        <v>716.67</v>
      </c>
      <c r="T50" s="94">
        <v>318.49</v>
      </c>
      <c r="U50" s="94">
        <v>937.17</v>
      </c>
      <c r="V50" s="94">
        <v>527.27</v>
      </c>
      <c r="W50" s="94">
        <v>367.84</v>
      </c>
      <c r="X50" s="94" t="s">
        <v>21</v>
      </c>
      <c r="Y50" s="94" t="s">
        <v>21</v>
      </c>
      <c r="Z50" s="93">
        <v>106.98</v>
      </c>
      <c r="AA50" s="93">
        <v>274.98</v>
      </c>
      <c r="AB50" s="93">
        <v>272.45999999999998</v>
      </c>
      <c r="AC50" s="93">
        <v>255.57</v>
      </c>
      <c r="AD50" s="93">
        <v>350</v>
      </c>
      <c r="AE50" s="93">
        <v>250</v>
      </c>
      <c r="AF50" s="94">
        <v>166.49</v>
      </c>
      <c r="AG50" s="94">
        <v>265</v>
      </c>
      <c r="AH50" s="94">
        <v>575</v>
      </c>
      <c r="AI50" s="94">
        <v>331.72</v>
      </c>
      <c r="AJ50" s="94">
        <v>868.71</v>
      </c>
      <c r="AK50" s="93">
        <v>4503.93</v>
      </c>
      <c r="AL50" s="93">
        <v>5028.12</v>
      </c>
      <c r="AM50" s="93">
        <v>5412.25</v>
      </c>
      <c r="AN50" s="93">
        <v>5783.14</v>
      </c>
      <c r="AO50" s="93">
        <v>6079.41</v>
      </c>
      <c r="AP50" s="93">
        <v>6056.73</v>
      </c>
      <c r="AQ50" s="93">
        <v>6018.49</v>
      </c>
      <c r="AR50" s="93">
        <v>5718.83</v>
      </c>
      <c r="AS50" s="93">
        <v>6846.36</v>
      </c>
      <c r="AT50" s="93">
        <v>6796</v>
      </c>
      <c r="AU50" s="94">
        <v>9976.7199999999993</v>
      </c>
    </row>
    <row r="51" spans="1:47" ht="13.5" customHeight="1">
      <c r="A51" s="92" t="s">
        <v>376</v>
      </c>
      <c r="B51" s="93">
        <v>12996.61</v>
      </c>
      <c r="C51" s="93">
        <v>14023.51</v>
      </c>
      <c r="D51" s="93">
        <v>15402</v>
      </c>
      <c r="E51" s="93">
        <v>15794.2</v>
      </c>
      <c r="F51" s="93">
        <v>15920</v>
      </c>
      <c r="G51" s="93">
        <v>15951.6</v>
      </c>
      <c r="H51" s="93">
        <v>19249.68</v>
      </c>
      <c r="I51" s="93">
        <v>19249.68</v>
      </c>
      <c r="J51" s="93">
        <v>20072.060000000001</v>
      </c>
      <c r="K51" s="93">
        <v>13667</v>
      </c>
      <c r="L51" s="93">
        <v>7002.31</v>
      </c>
      <c r="M51" s="93">
        <v>636.58000000000004</v>
      </c>
      <c r="N51" s="93">
        <v>964.89</v>
      </c>
      <c r="O51" s="93">
        <v>3050.07</v>
      </c>
      <c r="P51" s="93">
        <v>919.33</v>
      </c>
      <c r="Q51" s="93">
        <v>880.93</v>
      </c>
      <c r="R51" s="93">
        <v>869.61</v>
      </c>
      <c r="S51" s="93">
        <v>1020.09</v>
      </c>
      <c r="T51" s="94">
        <v>526.13</v>
      </c>
      <c r="U51" s="94">
        <v>458.28</v>
      </c>
      <c r="V51" s="93">
        <v>1168.17</v>
      </c>
      <c r="W51" s="94">
        <v>884.42</v>
      </c>
      <c r="X51" s="94" t="s">
        <v>21</v>
      </c>
      <c r="Y51" s="94" t="s">
        <v>21</v>
      </c>
      <c r="Z51" s="93">
        <v>11710.01</v>
      </c>
      <c r="AA51" s="93">
        <v>19565.66</v>
      </c>
      <c r="AB51" s="93">
        <v>20178</v>
      </c>
      <c r="AC51" s="93">
        <v>15208.87</v>
      </c>
      <c r="AD51" s="93">
        <v>17316.3</v>
      </c>
      <c r="AE51" s="93">
        <v>14402</v>
      </c>
      <c r="AF51" s="93">
        <v>9238.7999999999993</v>
      </c>
      <c r="AG51" s="93">
        <v>18027.830000000002</v>
      </c>
      <c r="AH51" s="93">
        <v>19990.07</v>
      </c>
      <c r="AI51" s="93">
        <v>228.08</v>
      </c>
      <c r="AJ51" s="93">
        <v>21178.05</v>
      </c>
      <c r="AK51" s="93">
        <v>25343.200000000001</v>
      </c>
      <c r="AL51" s="93">
        <v>34554.06</v>
      </c>
      <c r="AM51" s="93">
        <v>38630.07</v>
      </c>
      <c r="AN51" s="93">
        <v>31922.400000000001</v>
      </c>
      <c r="AO51" s="93">
        <v>34117.230000000003</v>
      </c>
      <c r="AP51" s="93">
        <v>31223.21</v>
      </c>
      <c r="AQ51" s="93">
        <v>29508.57</v>
      </c>
      <c r="AR51" s="93">
        <v>37803.65</v>
      </c>
      <c r="AS51" s="93">
        <v>40520.410000000003</v>
      </c>
      <c r="AT51" s="93">
        <v>15063</v>
      </c>
      <c r="AU51" s="93">
        <v>29064.78</v>
      </c>
    </row>
    <row r="52" spans="1:47" ht="13.5" customHeight="1">
      <c r="A52" s="95" t="s">
        <v>136</v>
      </c>
      <c r="B52" s="96">
        <v>259774.5</v>
      </c>
      <c r="C52" s="96">
        <v>280300</v>
      </c>
      <c r="D52" s="96">
        <v>302000</v>
      </c>
      <c r="E52" s="96">
        <v>314000</v>
      </c>
      <c r="F52" s="96">
        <v>316500</v>
      </c>
      <c r="G52" s="96">
        <v>316500</v>
      </c>
      <c r="H52" s="96">
        <v>370000</v>
      </c>
      <c r="I52" s="96">
        <v>370000</v>
      </c>
      <c r="J52" s="96">
        <v>385424.62</v>
      </c>
      <c r="K52" s="96">
        <v>387425</v>
      </c>
      <c r="L52" s="96">
        <v>405069.42</v>
      </c>
      <c r="M52" s="96">
        <v>16598.53</v>
      </c>
      <c r="N52" s="96">
        <v>21898.52</v>
      </c>
      <c r="O52" s="96">
        <v>43681.02</v>
      </c>
      <c r="P52" s="96">
        <v>58741.93</v>
      </c>
      <c r="Q52" s="96">
        <v>57095.06</v>
      </c>
      <c r="R52" s="96">
        <v>47372.61</v>
      </c>
      <c r="S52" s="96">
        <v>39880.89</v>
      </c>
      <c r="T52" s="96">
        <v>29354.04</v>
      </c>
      <c r="U52" s="96">
        <v>39189.46</v>
      </c>
      <c r="V52" s="96">
        <v>42273.440000000002</v>
      </c>
      <c r="W52" s="96">
        <v>39061.699999999997</v>
      </c>
      <c r="X52" s="97">
        <v>108.66</v>
      </c>
      <c r="Y52" s="97">
        <v>7.43</v>
      </c>
      <c r="Z52" s="96">
        <v>35021.57</v>
      </c>
      <c r="AA52" s="96">
        <v>59340.79</v>
      </c>
      <c r="AB52" s="96">
        <v>55924.08</v>
      </c>
      <c r="AC52" s="96">
        <v>50061.59</v>
      </c>
      <c r="AD52" s="96">
        <v>55863.78</v>
      </c>
      <c r="AE52" s="96">
        <v>52415.45</v>
      </c>
      <c r="AF52" s="96">
        <v>35907.64</v>
      </c>
      <c r="AG52" s="96">
        <v>57005.86</v>
      </c>
      <c r="AH52" s="96">
        <v>79703.149999999994</v>
      </c>
      <c r="AI52" s="96">
        <v>67297.570000000007</v>
      </c>
      <c r="AJ52" s="96">
        <v>99726.61</v>
      </c>
      <c r="AK52" s="96">
        <v>311394.59999999998</v>
      </c>
      <c r="AL52" s="96">
        <v>361539.31</v>
      </c>
      <c r="AM52" s="96">
        <v>401605.1</v>
      </c>
      <c r="AN52" s="96">
        <v>422803.52</v>
      </c>
      <c r="AO52" s="96">
        <v>429458.85</v>
      </c>
      <c r="AP52" s="96">
        <v>416288.06</v>
      </c>
      <c r="AQ52" s="96">
        <v>445788.53</v>
      </c>
      <c r="AR52" s="96">
        <v>456359.91</v>
      </c>
      <c r="AS52" s="96">
        <v>504425.88</v>
      </c>
      <c r="AT52" s="96">
        <v>496996.01</v>
      </c>
      <c r="AU52" s="96">
        <v>543857.73</v>
      </c>
    </row>
    <row r="53" spans="1:47" s="390" customFormat="1" ht="13.5" customHeight="1">
      <c r="A53" s="394" t="s">
        <v>507</v>
      </c>
    </row>
    <row r="54" spans="1:47" s="390" customFormat="1" ht="13.5" customHeight="1">
      <c r="A54" s="387" t="s">
        <v>377</v>
      </c>
    </row>
    <row r="55" spans="1:47" s="390" customFormat="1" ht="13.5" customHeight="1">
      <c r="A55" s="387" t="s">
        <v>378</v>
      </c>
    </row>
    <row r="56" spans="1:47" s="390" customFormat="1" ht="13.5" customHeight="1">
      <c r="A56" s="390" t="s">
        <v>379</v>
      </c>
    </row>
    <row r="57" spans="1:47" s="390" customFormat="1" ht="13.5" customHeight="1">
      <c r="A57" s="390" t="s">
        <v>380</v>
      </c>
    </row>
    <row r="58" spans="1:47" ht="13.5" customHeight="1">
      <c r="A58" s="67"/>
    </row>
    <row r="59" spans="1:47" ht="13.5" customHeight="1"/>
    <row r="60" spans="1:47" ht="13.5" customHeight="1"/>
    <row r="61" spans="1:47" ht="13.5" customHeight="1"/>
    <row r="62" spans="1:47" ht="13.5" customHeight="1"/>
    <row r="63" spans="1:47" ht="13.5" customHeight="1"/>
    <row r="64" spans="1:47" ht="13.5" customHeight="1"/>
    <row r="65" s="7" customFormat="1" ht="13.5" customHeight="1"/>
    <row r="66" s="7" customFormat="1" ht="13.5" customHeight="1"/>
    <row r="67" s="7" customFormat="1" ht="13.5" customHeight="1"/>
    <row r="68" s="7" customFormat="1" ht="13.5" customHeight="1"/>
    <row r="69" s="7" customFormat="1" ht="13.5" customHeight="1"/>
    <row r="70" s="7" customFormat="1" ht="13.5" customHeight="1"/>
    <row r="71" s="7" customFormat="1" ht="13.5" customHeight="1"/>
    <row r="72" s="7" customFormat="1" ht="13.5" customHeight="1"/>
    <row r="73" s="7" customFormat="1" ht="13.5" customHeight="1"/>
    <row r="74" s="7" customFormat="1" ht="13.5" customHeight="1"/>
    <row r="75" s="7" customFormat="1" ht="13.5" customHeight="1"/>
    <row r="76" s="7" customFormat="1" ht="13.5" customHeight="1"/>
    <row r="77" s="7" customFormat="1" ht="13.5" customHeight="1"/>
    <row r="78" s="7" customFormat="1" ht="13.5" customHeight="1"/>
    <row r="79" s="7" customFormat="1" ht="13.5" customHeight="1"/>
    <row r="80" s="7" customFormat="1" ht="13.5" customHeight="1"/>
    <row r="81" s="7" customFormat="1" ht="13.5" customHeight="1"/>
    <row r="82" s="7" customFormat="1" ht="13.5" customHeight="1"/>
    <row r="83" s="7" customFormat="1" ht="13.5" customHeight="1"/>
    <row r="84" s="7" customFormat="1" ht="13.5" customHeight="1"/>
    <row r="85" s="7" customFormat="1" ht="13.5" customHeight="1"/>
    <row r="86" s="7" customFormat="1" ht="13.5" customHeight="1"/>
    <row r="87" s="7" customFormat="1" ht="13.5" customHeight="1"/>
    <row r="88" s="7" customFormat="1" ht="13.5" customHeight="1"/>
    <row r="89" s="7" customFormat="1" ht="13.5" customHeight="1"/>
    <row r="90" s="7" customFormat="1" ht="13.5" customHeight="1"/>
    <row r="91" s="7" customFormat="1" ht="13.5" customHeight="1"/>
    <row r="92" s="7" customFormat="1" ht="13.5" customHeight="1"/>
    <row r="93" s="7" customFormat="1" ht="13.5" customHeight="1"/>
    <row r="94" s="7" customFormat="1" ht="13.5" customHeight="1"/>
    <row r="95" s="7" customFormat="1" ht="13.5" customHeight="1"/>
    <row r="96" s="7" customFormat="1" ht="13.5" customHeight="1"/>
    <row r="97" s="7" customFormat="1" ht="13.5" customHeight="1"/>
    <row r="98" s="7" customFormat="1" ht="13.5" customHeight="1"/>
    <row r="99" s="7" customFormat="1" ht="13.5" customHeight="1"/>
    <row r="100" s="7" customFormat="1" ht="13.5" customHeight="1"/>
    <row r="101" s="7" customFormat="1" ht="13.5" customHeight="1"/>
    <row r="102" s="7" customFormat="1" ht="13.5" customHeight="1"/>
    <row r="103" s="7" customFormat="1" ht="13.5" customHeight="1"/>
    <row r="104" s="7" customFormat="1" ht="13.5" customHeight="1"/>
    <row r="105" s="7" customFormat="1" ht="13.5" customHeight="1"/>
    <row r="106" s="7" customFormat="1" ht="13.5" customHeight="1"/>
    <row r="107" s="7" customFormat="1" ht="13.5" customHeight="1"/>
    <row r="108" s="7" customFormat="1" ht="13.5" customHeight="1"/>
    <row r="109" s="7" customFormat="1" ht="13.5" customHeight="1"/>
    <row r="110" s="7" customFormat="1" ht="13.5" customHeight="1"/>
    <row r="111" s="7" customFormat="1" ht="13.5" customHeight="1"/>
    <row r="112" s="7" customFormat="1" ht="13.5" customHeight="1"/>
    <row r="113" s="7" customFormat="1" ht="13.5" customHeight="1"/>
    <row r="114" s="7" customFormat="1" ht="13.5" customHeight="1"/>
    <row r="115" s="7" customFormat="1" ht="13.5" customHeight="1"/>
    <row r="116" s="7" customFormat="1" ht="13.5" customHeight="1"/>
    <row r="117" s="7" customFormat="1" ht="13.5" customHeight="1"/>
    <row r="118" s="7" customFormat="1" ht="13.5" customHeight="1"/>
    <row r="119" s="7" customFormat="1" ht="13.5" customHeight="1"/>
    <row r="120" s="7" customFormat="1" ht="13.5" customHeight="1"/>
    <row r="121" s="7" customFormat="1" ht="13.5" customHeight="1"/>
    <row r="122" s="7" customFormat="1" ht="13.5" customHeight="1"/>
    <row r="123" s="7" customFormat="1" ht="13.5" customHeight="1"/>
    <row r="124" s="7" customFormat="1" ht="13.5" customHeight="1"/>
    <row r="125" s="7" customFormat="1" ht="13.5" customHeight="1"/>
    <row r="126" s="7" customFormat="1" ht="13.5" customHeight="1"/>
    <row r="127" s="7" customFormat="1" ht="13.5" customHeight="1"/>
    <row r="128" s="7" customFormat="1" ht="13.5" customHeight="1"/>
    <row r="129" s="7" customFormat="1" ht="13.5" customHeight="1"/>
    <row r="130" s="7" customFormat="1" ht="13.5" customHeight="1"/>
    <row r="131" s="7" customFormat="1" ht="13.5" customHeight="1"/>
    <row r="132" s="7" customFormat="1" ht="13.5" customHeight="1"/>
    <row r="133" s="7" customFormat="1" ht="13.5" customHeight="1"/>
    <row r="134" s="7" customFormat="1" ht="13.5" customHeight="1"/>
    <row r="135" s="7" customFormat="1" ht="13.5" customHeight="1"/>
    <row r="136" s="7" customFormat="1" ht="13.5" customHeight="1"/>
    <row r="137" s="7" customFormat="1" ht="13.5" customHeight="1"/>
    <row r="138" s="7" customFormat="1" ht="13.5" customHeight="1"/>
    <row r="139" s="7" customFormat="1" ht="13.5" customHeight="1"/>
    <row r="140" s="7" customFormat="1" ht="13.5" customHeight="1"/>
    <row r="141" s="7" customFormat="1" ht="13.5" customHeight="1"/>
    <row r="142" s="7" customFormat="1" ht="13.5" customHeight="1"/>
    <row r="143" s="7" customFormat="1" ht="13.5" customHeight="1"/>
    <row r="144" s="7" customFormat="1" ht="13.5" customHeight="1"/>
    <row r="145" s="7" customFormat="1" ht="13.5" customHeight="1"/>
    <row r="146" s="7" customFormat="1" ht="13.5" customHeight="1"/>
    <row r="147" s="7" customFormat="1" ht="13.5" customHeight="1"/>
    <row r="148" s="7" customFormat="1" ht="13.5" customHeight="1"/>
    <row r="149" s="7" customFormat="1" ht="13.5" customHeight="1"/>
    <row r="150" s="7" customFormat="1" ht="13.5" customHeight="1"/>
    <row r="151" s="7" customFormat="1" ht="13.5" customHeight="1"/>
    <row r="152" s="7" customFormat="1" ht="13.5" customHeight="1"/>
    <row r="153" s="7" customFormat="1" ht="13.5" customHeight="1"/>
    <row r="154" s="7" customFormat="1" ht="13.5" customHeight="1"/>
    <row r="155" s="7" customFormat="1" ht="13.5" customHeight="1"/>
    <row r="156" s="7" customFormat="1" ht="13.5" customHeight="1"/>
    <row r="157" s="7" customFormat="1" ht="13.5" customHeight="1"/>
    <row r="158" s="7" customFormat="1" ht="13.5" customHeight="1"/>
    <row r="159" s="7" customFormat="1" ht="13.5" customHeight="1"/>
    <row r="160" s="7" customFormat="1" ht="13.5" customHeight="1"/>
    <row r="161" s="7" customFormat="1" ht="13.5" customHeight="1"/>
    <row r="162" s="7" customFormat="1" ht="13.5" customHeight="1"/>
    <row r="163" s="7" customFormat="1" ht="13.5" customHeight="1"/>
    <row r="164" s="7" customFormat="1" ht="13.5" customHeight="1"/>
    <row r="165" s="7" customFormat="1" ht="13.5" customHeight="1"/>
    <row r="166" s="7" customFormat="1" ht="13.5" customHeight="1"/>
    <row r="167" s="7" customFormat="1" ht="13.5" customHeight="1"/>
    <row r="168" s="7" customFormat="1" ht="13.5" customHeight="1"/>
    <row r="169" s="7" customFormat="1" ht="13.5" customHeight="1"/>
    <row r="170" s="7" customFormat="1" ht="13.5" customHeight="1"/>
    <row r="171" s="7" customFormat="1" ht="13.5" customHeight="1"/>
    <row r="172" s="7" customFormat="1" ht="13.5" customHeight="1"/>
    <row r="173" s="7" customFormat="1" ht="13.5" customHeight="1"/>
    <row r="174" s="7" customFormat="1" ht="13.5" customHeight="1"/>
    <row r="175" s="7" customFormat="1" ht="13.5" customHeight="1"/>
    <row r="176" s="7" customFormat="1" ht="13.5" customHeight="1"/>
    <row r="177" s="7" customFormat="1" ht="13.5" customHeight="1"/>
    <row r="178" s="7" customFormat="1" ht="13.5" customHeight="1"/>
    <row r="179" s="7" customFormat="1" ht="13.5" customHeight="1"/>
    <row r="180" s="7" customFormat="1" ht="13.5" customHeight="1"/>
    <row r="181" s="7" customFormat="1" ht="13.5" customHeight="1"/>
    <row r="182" s="7" customFormat="1" ht="13.5" customHeight="1"/>
    <row r="183" s="7" customFormat="1" ht="13.5" customHeight="1"/>
    <row r="184" s="7" customFormat="1" ht="13.5" customHeight="1"/>
    <row r="185" s="7" customFormat="1" ht="13.5" customHeight="1"/>
    <row r="186" s="7" customFormat="1" ht="13.5" customHeight="1"/>
    <row r="187" s="7" customFormat="1" ht="13.5" customHeight="1"/>
    <row r="188" s="7" customFormat="1" ht="13.5" customHeight="1"/>
    <row r="189" s="7" customFormat="1" ht="13.5" customHeight="1"/>
    <row r="190" s="7" customFormat="1" ht="13.5" customHeight="1"/>
    <row r="191" s="7" customFormat="1" ht="13.5" customHeight="1"/>
    <row r="192" s="7" customFormat="1" ht="13.5" customHeight="1"/>
    <row r="193" s="7" customFormat="1" ht="13.5" customHeight="1"/>
    <row r="194" s="7" customFormat="1" ht="13.5" customHeight="1"/>
    <row r="195" s="7" customFormat="1" ht="13.5" customHeight="1"/>
    <row r="196" s="7" customFormat="1" ht="13.5" customHeight="1"/>
    <row r="197" s="7" customFormat="1" ht="13.5" customHeight="1"/>
    <row r="198" s="7" customFormat="1" ht="13.5" customHeight="1"/>
    <row r="199" s="7" customFormat="1" ht="13.5" customHeight="1"/>
    <row r="200" s="7" customFormat="1" ht="13.5" customHeight="1"/>
    <row r="201" s="7" customFormat="1" ht="13.5" customHeight="1"/>
    <row r="202" s="7" customFormat="1" ht="13.5" customHeight="1"/>
    <row r="203" s="7" customFormat="1" ht="13.5" customHeight="1"/>
    <row r="204" s="7" customFormat="1" ht="13.5" customHeight="1"/>
    <row r="205" s="7" customFormat="1" ht="13.5" customHeight="1"/>
    <row r="206" s="7" customFormat="1" ht="13.5" customHeight="1"/>
    <row r="207" s="7" customFormat="1" ht="13.5" customHeight="1"/>
    <row r="208" s="7" customFormat="1" ht="13.5" customHeight="1"/>
    <row r="209" s="7" customFormat="1" ht="13.5" customHeight="1"/>
    <row r="210" s="7" customFormat="1" ht="13.5" customHeight="1"/>
    <row r="211" s="7" customFormat="1" ht="13.5" customHeight="1"/>
    <row r="212" s="7" customFormat="1" ht="13.5" customHeight="1"/>
    <row r="213" s="7" customFormat="1" ht="13.5" customHeight="1"/>
    <row r="214" s="7" customFormat="1" ht="13.5" customHeight="1"/>
    <row r="215" s="7" customFormat="1" ht="13.5" customHeight="1"/>
    <row r="216" s="7" customFormat="1" ht="13.5" customHeight="1"/>
    <row r="217" s="7" customFormat="1" ht="13.5" customHeight="1"/>
    <row r="218" s="7" customFormat="1" ht="13.5" customHeight="1"/>
    <row r="219" s="7" customFormat="1" ht="13.5" customHeight="1"/>
    <row r="220" s="7" customFormat="1" ht="13.5" customHeight="1"/>
    <row r="221" s="7" customFormat="1" ht="13.5" customHeight="1"/>
    <row r="222" s="7" customFormat="1" ht="13.5" customHeight="1"/>
    <row r="223" s="7" customFormat="1" ht="13.5" customHeight="1"/>
    <row r="224" s="7" customFormat="1" ht="13.5" customHeight="1"/>
    <row r="225" s="7" customFormat="1" ht="13.5" customHeight="1"/>
    <row r="226" s="7" customFormat="1" ht="13.5" customHeight="1"/>
    <row r="227" s="7" customFormat="1" ht="13.5" customHeight="1"/>
    <row r="228" s="7" customFormat="1" ht="13.5" customHeight="1"/>
    <row r="229" s="7" customFormat="1" ht="13.5" customHeight="1"/>
    <row r="230" s="7" customFormat="1" ht="13.5" customHeight="1"/>
    <row r="231" s="7" customFormat="1" ht="13.5" customHeight="1"/>
    <row r="232" s="7" customFormat="1" ht="13.5" customHeight="1"/>
    <row r="233" s="7" customFormat="1" ht="13.5" customHeight="1"/>
    <row r="234" s="7" customFormat="1" ht="13.5" customHeight="1"/>
    <row r="235" s="7" customFormat="1" ht="13.5" customHeight="1"/>
    <row r="236" s="7" customFormat="1" ht="13.5" customHeight="1"/>
    <row r="237" s="7" customFormat="1" ht="13.5" customHeight="1"/>
    <row r="238" s="7" customFormat="1" ht="13.5" customHeight="1"/>
    <row r="239" s="7" customFormat="1" ht="13.5" customHeight="1"/>
    <row r="240" s="7" customFormat="1" ht="13.5" customHeight="1"/>
    <row r="241" s="7" customFormat="1" ht="13.5" customHeight="1"/>
    <row r="242" s="7" customFormat="1" ht="13.5" customHeight="1"/>
    <row r="243" s="7" customFormat="1" ht="13.5" customHeight="1"/>
    <row r="244" s="7" customFormat="1" ht="13.5" customHeight="1"/>
    <row r="245" s="7" customFormat="1" ht="13.5" customHeight="1"/>
    <row r="246" s="7" customFormat="1" ht="13.5" customHeight="1"/>
    <row r="247" s="7" customFormat="1" ht="13.5" customHeight="1"/>
    <row r="248" s="7" customFormat="1" ht="13.5" customHeight="1"/>
    <row r="249" s="7" customFormat="1" ht="13.5" customHeight="1"/>
    <row r="250" s="7" customFormat="1" ht="13.5" customHeight="1"/>
    <row r="251" s="7" customFormat="1" ht="13.5" customHeight="1"/>
    <row r="252" s="7" customFormat="1" ht="13.5" customHeight="1"/>
    <row r="253" s="7" customFormat="1" ht="13.5" customHeight="1"/>
    <row r="254" s="7" customFormat="1" ht="13.5" customHeight="1"/>
    <row r="255" s="7" customFormat="1" ht="13.5" customHeight="1"/>
    <row r="256" s="7" customFormat="1" ht="13.5" customHeight="1"/>
    <row r="257" s="7" customFormat="1" ht="13.5" customHeight="1"/>
    <row r="258" s="7" customFormat="1" ht="13.5" customHeight="1"/>
    <row r="259" s="7" customFormat="1" ht="13.5" customHeight="1"/>
    <row r="260" s="7" customFormat="1" ht="13.5" customHeight="1"/>
    <row r="261" s="7" customFormat="1" ht="13.5" customHeight="1"/>
    <row r="262" s="7" customFormat="1" ht="13.5" customHeight="1"/>
    <row r="263" s="7" customFormat="1" ht="13.5" customHeight="1"/>
    <row r="264" s="7" customFormat="1" ht="13.5" customHeight="1"/>
    <row r="265" s="7" customFormat="1" ht="13.5" customHeight="1"/>
    <row r="266" s="7" customFormat="1" ht="13.5" customHeight="1"/>
    <row r="267" s="7" customFormat="1" ht="13.5" customHeight="1"/>
    <row r="268" s="7" customFormat="1" ht="13.5" customHeight="1"/>
    <row r="269" s="7" customFormat="1" ht="13.5" customHeight="1"/>
    <row r="270" s="7" customFormat="1" ht="13.5" customHeight="1"/>
    <row r="271" s="7" customFormat="1" ht="13.5" customHeight="1"/>
    <row r="272" s="7" customFormat="1" ht="13.5" customHeight="1"/>
    <row r="273" s="7" customFormat="1" ht="13.5" customHeight="1"/>
    <row r="274" s="7" customFormat="1" ht="13.5" customHeight="1"/>
    <row r="275" s="7" customFormat="1" ht="13.5" customHeight="1"/>
    <row r="276" s="7" customFormat="1" ht="13.5" customHeight="1"/>
    <row r="277" s="7" customFormat="1" ht="13.5" customHeight="1"/>
    <row r="278" s="7" customFormat="1" ht="13.5" customHeight="1"/>
    <row r="279" s="7" customFormat="1" ht="13.5" customHeight="1"/>
    <row r="280" s="7" customFormat="1" ht="13.5" customHeight="1"/>
    <row r="281" s="7" customFormat="1" ht="13.5" customHeight="1"/>
    <row r="282" s="7" customFormat="1" ht="13.5" customHeight="1"/>
    <row r="283" s="7" customFormat="1" ht="13.5" customHeight="1"/>
    <row r="284" s="7" customFormat="1" ht="13.5" customHeight="1"/>
    <row r="285" s="7" customFormat="1" ht="13.5" customHeight="1"/>
    <row r="286" s="7" customFormat="1" ht="13.5" customHeight="1"/>
    <row r="287" s="7" customFormat="1" ht="13.5" customHeight="1"/>
    <row r="288" s="7" customFormat="1" ht="13.5" customHeight="1"/>
    <row r="289" s="7" customFormat="1" ht="13.5" customHeight="1"/>
    <row r="290" s="7" customFormat="1" ht="13.5" customHeight="1"/>
    <row r="291" s="7" customFormat="1" ht="13.5" customHeight="1"/>
    <row r="292" s="7" customFormat="1" ht="13.5" customHeight="1"/>
    <row r="293" s="7" customFormat="1" ht="13.5" customHeight="1"/>
    <row r="294" s="7" customFormat="1" ht="13.5" customHeight="1"/>
    <row r="295" s="7" customFormat="1" ht="13.5" customHeight="1"/>
    <row r="296" s="7" customFormat="1" ht="13.5" customHeight="1"/>
    <row r="297" s="7" customFormat="1" ht="13.5" customHeight="1"/>
    <row r="298" s="7" customFormat="1" ht="13.5" customHeight="1"/>
    <row r="299" s="7" customFormat="1" ht="13.5" customHeight="1"/>
    <row r="300" s="7" customFormat="1" ht="13.5" customHeight="1"/>
    <row r="301" s="7" customFormat="1" ht="13.5" customHeight="1"/>
    <row r="302" s="7" customFormat="1" ht="13.5" customHeight="1"/>
    <row r="303" s="7" customFormat="1" ht="13.5" customHeight="1"/>
    <row r="304" s="7" customFormat="1" ht="13.5" customHeight="1"/>
    <row r="305" s="7" customFormat="1" ht="13.5" customHeight="1"/>
    <row r="306" s="7" customFormat="1" ht="13.5" customHeight="1"/>
    <row r="307" s="7" customFormat="1" ht="13.5" customHeight="1"/>
    <row r="308" s="7" customFormat="1" ht="13.5" customHeight="1"/>
    <row r="309" s="7" customFormat="1" ht="13.5" customHeight="1"/>
    <row r="310" s="7" customFormat="1" ht="13.5" customHeight="1"/>
    <row r="311" s="7" customFormat="1" ht="13.5" customHeight="1"/>
    <row r="312" s="7" customFormat="1" ht="13.5" customHeight="1"/>
    <row r="313" s="7" customFormat="1" ht="13.5" customHeight="1"/>
    <row r="314" s="7" customFormat="1" ht="13.5" customHeight="1"/>
    <row r="315" s="7" customFormat="1" ht="13.5" customHeight="1"/>
    <row r="316" s="7" customFormat="1" ht="13.5" customHeight="1"/>
    <row r="317" s="7" customFormat="1" ht="13.5" customHeight="1"/>
    <row r="318" s="7" customFormat="1" ht="13.5" customHeight="1"/>
    <row r="319" s="7" customFormat="1" ht="13.5" customHeight="1"/>
    <row r="320" s="7" customFormat="1" ht="13.5" customHeight="1"/>
    <row r="321" s="7" customFormat="1" ht="13.5" customHeight="1"/>
    <row r="322" s="7" customFormat="1" ht="13.5" customHeight="1"/>
    <row r="323" s="7" customFormat="1" ht="13.5" customHeight="1"/>
    <row r="324" s="7" customFormat="1" ht="13.5" customHeight="1"/>
    <row r="325" s="7" customFormat="1" ht="13.5" customHeight="1"/>
    <row r="326" s="7" customFormat="1" ht="13.5" customHeight="1"/>
    <row r="327" s="7" customFormat="1" ht="13.5" customHeight="1"/>
    <row r="328" s="7" customFormat="1" ht="13.5" customHeight="1"/>
    <row r="329" s="7" customFormat="1" ht="13.5" customHeight="1"/>
    <row r="330" s="7" customFormat="1" ht="13.5" customHeight="1"/>
    <row r="331" s="7" customFormat="1" ht="13.5" customHeight="1"/>
    <row r="332" s="7" customFormat="1" ht="13.5" customHeight="1"/>
    <row r="333" s="7" customFormat="1" ht="13.5" customHeight="1"/>
    <row r="334" s="7" customFormat="1" ht="13.5" customHeight="1"/>
    <row r="335" s="7" customFormat="1" ht="13.5" customHeight="1"/>
    <row r="336" s="7" customFormat="1" ht="13.5" customHeight="1"/>
    <row r="337" s="7" customFormat="1" ht="13.5" customHeight="1"/>
    <row r="338" s="7" customFormat="1" ht="13.5" customHeight="1"/>
    <row r="339" s="7" customFormat="1" ht="13.5" customHeight="1"/>
    <row r="340" s="7" customFormat="1" ht="13.5" customHeight="1"/>
    <row r="341" s="7" customFormat="1" ht="13.5" customHeight="1"/>
    <row r="342" s="7" customFormat="1" ht="13.5" customHeight="1"/>
    <row r="343" s="7" customFormat="1" ht="13.5" customHeight="1"/>
    <row r="344" s="7" customFormat="1" ht="13.5" customHeight="1"/>
    <row r="345" s="7" customFormat="1" ht="13.5" customHeight="1"/>
    <row r="346" s="7" customFormat="1" ht="13.5" customHeight="1"/>
    <row r="347" s="7" customFormat="1" ht="13.5" customHeight="1"/>
    <row r="348" s="7" customFormat="1" ht="13.5" customHeight="1"/>
    <row r="349" s="7" customFormat="1" ht="13.5" customHeight="1"/>
    <row r="350" s="7" customFormat="1" ht="13.5" customHeight="1"/>
    <row r="351" s="7" customFormat="1" ht="13.5" customHeight="1"/>
    <row r="352" s="7" customFormat="1" ht="13.5" customHeight="1"/>
    <row r="353" s="7" customFormat="1" ht="13.5" customHeight="1"/>
    <row r="354" s="7" customFormat="1" ht="13.5" customHeight="1"/>
    <row r="355" s="7" customFormat="1" ht="13.5" customHeight="1"/>
    <row r="356" s="7" customFormat="1" ht="13.5" customHeight="1"/>
    <row r="357" s="7" customFormat="1" ht="13.5" customHeight="1"/>
    <row r="358" s="7" customFormat="1" ht="13.5" customHeight="1"/>
    <row r="359" s="7" customFormat="1" ht="13.5" customHeight="1"/>
    <row r="360" s="7" customFormat="1" ht="13.5" customHeight="1"/>
    <row r="361" s="7" customFormat="1" ht="13.5" customHeight="1"/>
    <row r="362" s="7" customFormat="1" ht="13.5" customHeight="1"/>
    <row r="363" s="7" customFormat="1" ht="13.5" customHeight="1"/>
    <row r="364" s="7" customFormat="1" ht="13.5" customHeight="1"/>
    <row r="365" s="7" customFormat="1" ht="13.5" customHeight="1"/>
    <row r="366" s="7" customFormat="1" ht="13.5" customHeight="1"/>
    <row r="367" s="7" customFormat="1" ht="13.5" customHeight="1"/>
    <row r="368" s="7" customFormat="1" ht="13.5" customHeight="1"/>
    <row r="369" s="7" customFormat="1" ht="13.5" customHeight="1"/>
    <row r="370" s="7" customFormat="1" ht="13.5" customHeight="1"/>
    <row r="371" s="7" customFormat="1" ht="13.5" customHeight="1"/>
    <row r="372" s="7" customFormat="1" ht="13.5" customHeight="1"/>
    <row r="373" s="7" customFormat="1" ht="13.5" customHeight="1"/>
    <row r="374" s="7" customFormat="1" ht="13.5" customHeight="1"/>
    <row r="375" s="7" customFormat="1" ht="13.5" customHeight="1"/>
    <row r="376" s="7" customFormat="1" ht="13.5" customHeight="1"/>
    <row r="377" s="7" customFormat="1" ht="13.5" customHeight="1"/>
    <row r="378" s="7" customFormat="1" ht="13.5" customHeight="1"/>
    <row r="379" s="7" customFormat="1" ht="13.5" customHeight="1"/>
    <row r="380" s="7" customFormat="1" ht="13.5" customHeight="1"/>
    <row r="381" s="7" customFormat="1" ht="13.5" customHeight="1"/>
    <row r="382" s="7" customFormat="1" ht="13.5" customHeight="1"/>
    <row r="383" s="7" customFormat="1" ht="13.5" customHeight="1"/>
    <row r="384" s="7" customFormat="1" ht="13.5" customHeight="1"/>
    <row r="385" s="7" customFormat="1" ht="13.5" customHeight="1"/>
    <row r="386" s="7" customFormat="1" ht="13.5" customHeight="1"/>
    <row r="387" s="7" customFormat="1" ht="13.5" customHeight="1"/>
    <row r="388" s="7" customFormat="1" ht="13.5" customHeight="1"/>
    <row r="389" s="7" customFormat="1" ht="13.5" customHeight="1"/>
    <row r="390" s="7" customFormat="1" ht="13.5" customHeight="1"/>
    <row r="391" s="7" customFormat="1" ht="13.5" customHeight="1"/>
    <row r="392" s="7" customFormat="1" ht="13.5" customHeight="1"/>
    <row r="393" s="7" customFormat="1" ht="13.5" customHeight="1"/>
    <row r="394" s="7" customFormat="1" ht="13.5" customHeight="1"/>
    <row r="395" s="7" customFormat="1" ht="13.5" customHeight="1"/>
    <row r="396" s="7" customFormat="1" ht="13.5" customHeight="1"/>
    <row r="397" s="7" customFormat="1" ht="13.5" customHeight="1"/>
    <row r="398" s="7" customFormat="1" ht="13.5" customHeight="1"/>
    <row r="399" s="7" customFormat="1" ht="13.5" customHeight="1"/>
    <row r="400" s="7" customFormat="1" ht="13.5" customHeight="1"/>
    <row r="401" s="7" customFormat="1" ht="13.5" customHeight="1"/>
    <row r="402" s="7" customFormat="1" ht="13.5" customHeight="1"/>
    <row r="403" s="7" customFormat="1" ht="13.5" customHeight="1"/>
    <row r="404" s="7" customFormat="1" ht="13.5" customHeight="1"/>
    <row r="405" s="7" customFormat="1" ht="13.5" customHeight="1"/>
    <row r="406" s="7" customFormat="1" ht="13.5" customHeight="1"/>
    <row r="407" s="7" customFormat="1" ht="13.5" customHeight="1"/>
    <row r="408" s="7" customFormat="1" ht="13.5" customHeight="1"/>
    <row r="409" s="7" customFormat="1" ht="13.5" customHeight="1"/>
    <row r="410" s="7" customFormat="1" ht="13.5" customHeight="1"/>
    <row r="411" s="7" customFormat="1" ht="13.5" customHeight="1"/>
    <row r="412" s="7" customFormat="1" ht="13.5" customHeight="1"/>
    <row r="413" s="7" customFormat="1" ht="13.5" customHeight="1"/>
    <row r="414" s="7" customFormat="1" ht="13.5" customHeight="1"/>
    <row r="415" s="7" customFormat="1" ht="13.5" customHeight="1"/>
    <row r="416" s="7" customFormat="1" ht="13.5" customHeight="1"/>
    <row r="417" s="7" customFormat="1" ht="13.5" customHeight="1"/>
    <row r="418" s="7" customFormat="1" ht="13.5" customHeight="1"/>
    <row r="419" s="7" customFormat="1" ht="13.5" customHeight="1"/>
    <row r="420" s="7" customFormat="1" ht="13.5" customHeight="1"/>
    <row r="421" s="7" customFormat="1" ht="13.5" customHeight="1"/>
    <row r="422" s="7" customFormat="1" ht="13.5" customHeight="1"/>
    <row r="423" s="7" customFormat="1" ht="13.5" customHeight="1"/>
    <row r="424" s="7" customFormat="1" ht="13.5" customHeight="1"/>
    <row r="425" s="7" customFormat="1" ht="13.5" customHeight="1"/>
    <row r="426" s="7" customFormat="1" ht="13.5" customHeight="1"/>
    <row r="427" s="7" customFormat="1" ht="13.5" customHeight="1"/>
    <row r="428" s="7" customFormat="1" ht="13.5" customHeight="1"/>
    <row r="429" s="7" customFormat="1" ht="13.5" customHeight="1"/>
    <row r="430" s="7" customFormat="1" ht="13.5" customHeight="1"/>
    <row r="431" s="7" customFormat="1" ht="13.5" customHeight="1"/>
    <row r="432" s="7" customFormat="1" ht="13.5" customHeight="1"/>
    <row r="433" s="7" customFormat="1" ht="13.5" customHeight="1"/>
    <row r="434" s="7" customFormat="1" ht="13.5" customHeight="1"/>
    <row r="435" s="7" customFormat="1" ht="13.5" customHeight="1"/>
    <row r="436" s="7" customFormat="1" ht="13.5" customHeight="1"/>
    <row r="437" s="7" customFormat="1" ht="13.5" customHeight="1"/>
    <row r="438" s="7" customFormat="1" ht="13.5" customHeight="1"/>
    <row r="439" s="7" customFormat="1" ht="13.5" customHeight="1"/>
    <row r="440" s="7" customFormat="1" ht="13.5" customHeight="1"/>
    <row r="441" s="7" customFormat="1" ht="13.5" customHeight="1"/>
    <row r="442" s="7" customFormat="1" ht="13.5" customHeight="1"/>
    <row r="443" s="7" customFormat="1" ht="13.5" customHeight="1"/>
    <row r="444" s="7" customFormat="1" ht="13.5" customHeight="1"/>
    <row r="445" s="7" customFormat="1" ht="13.5" customHeight="1"/>
    <row r="446" s="7" customFormat="1" ht="13.5" customHeight="1"/>
    <row r="447" s="7" customFormat="1" ht="13.5" customHeight="1"/>
    <row r="448" s="7" customFormat="1" ht="13.5" customHeight="1"/>
    <row r="449" s="7" customFormat="1" ht="13.5" customHeight="1"/>
    <row r="450" s="7" customFormat="1" ht="13.5" customHeight="1"/>
    <row r="451" s="7" customFormat="1" ht="13.5" customHeight="1"/>
    <row r="452" s="7" customFormat="1" ht="13.5" customHeight="1"/>
    <row r="453" s="7" customFormat="1" ht="13.5" customHeight="1"/>
    <row r="454" s="7" customFormat="1" ht="13.5" customHeight="1"/>
    <row r="455" s="7" customFormat="1" ht="13.5" customHeight="1"/>
    <row r="456" s="7" customFormat="1" ht="13.5" customHeight="1"/>
    <row r="457" s="7" customFormat="1" ht="13.5" customHeight="1"/>
    <row r="458" s="7" customFormat="1" ht="13.5" customHeight="1"/>
    <row r="459" s="7" customFormat="1" ht="13.5" customHeight="1"/>
    <row r="460" s="7" customFormat="1" ht="13.5" customHeight="1"/>
    <row r="461" s="7" customFormat="1" ht="13.5" customHeight="1"/>
    <row r="462" s="7" customFormat="1" ht="13.5" customHeight="1"/>
    <row r="463" s="7" customFormat="1" ht="13.5" customHeight="1"/>
    <row r="464" s="7" customFormat="1" ht="13.5" customHeight="1"/>
    <row r="465" s="7" customFormat="1" ht="13.5" customHeight="1"/>
    <row r="466" s="7" customFormat="1" ht="13.5" customHeight="1"/>
    <row r="467" s="7" customFormat="1" ht="13.5" customHeight="1"/>
    <row r="468" s="7" customFormat="1" ht="13.5" customHeight="1"/>
    <row r="469" s="7" customFormat="1" ht="13.5" customHeight="1"/>
    <row r="470" s="7" customFormat="1" ht="13.5" customHeight="1"/>
    <row r="471" s="7" customFormat="1" ht="13.5" customHeight="1"/>
    <row r="472" s="7" customFormat="1" ht="13.5" customHeight="1"/>
    <row r="473" s="7" customFormat="1" ht="13.5" customHeight="1"/>
    <row r="474" s="7" customFormat="1" ht="13.5" customHeight="1"/>
    <row r="475" s="7" customFormat="1" ht="13.5" customHeight="1"/>
    <row r="476" s="7" customFormat="1" ht="13.5" customHeight="1"/>
    <row r="477" s="7" customFormat="1" ht="13.5" customHeight="1"/>
    <row r="478" s="7" customFormat="1" ht="13.5" customHeight="1"/>
    <row r="479" s="7" customFormat="1" ht="13.5" customHeight="1"/>
    <row r="480" s="7" customFormat="1" ht="13.5" customHeight="1"/>
    <row r="481" s="7" customFormat="1" ht="13.5" customHeight="1"/>
    <row r="482" s="7" customFormat="1" ht="13.5" customHeight="1"/>
    <row r="483" s="7" customFormat="1" ht="13.5" customHeight="1"/>
    <row r="484" s="7" customFormat="1" ht="13.5" customHeight="1"/>
    <row r="485" s="7" customFormat="1" ht="13.5" customHeight="1"/>
    <row r="486" s="7" customFormat="1" ht="13.5" customHeight="1"/>
    <row r="487" s="7" customFormat="1" ht="13.5" customHeight="1"/>
    <row r="488" s="7" customFormat="1" ht="13.5" customHeight="1"/>
    <row r="489" s="7" customFormat="1" ht="13.5" customHeight="1"/>
    <row r="490" s="7" customFormat="1" ht="13.5" customHeight="1"/>
    <row r="491" s="7" customFormat="1" ht="13.5" customHeight="1"/>
    <row r="492" s="7" customFormat="1" ht="13.5" customHeight="1"/>
    <row r="493" s="7" customFormat="1" ht="13.5" customHeight="1"/>
    <row r="494" s="7" customFormat="1" ht="13.5" customHeight="1"/>
    <row r="495" s="7" customFormat="1" ht="13.5" customHeight="1"/>
    <row r="496" s="7" customFormat="1" ht="13.5" customHeight="1"/>
    <row r="497" s="7" customFormat="1" ht="13.5" customHeight="1"/>
    <row r="498" s="7" customFormat="1" ht="13.5" customHeight="1"/>
    <row r="499" s="7" customFormat="1" ht="13.5" customHeight="1"/>
    <row r="500" s="7" customFormat="1" ht="13.5" customHeight="1"/>
    <row r="501" s="7" customFormat="1" ht="13.5" customHeight="1"/>
    <row r="502" s="7" customFormat="1" ht="13.5" customHeight="1"/>
    <row r="503" s="7" customFormat="1" ht="13.5" customHeight="1"/>
    <row r="504" s="7" customFormat="1" ht="13.5" customHeight="1"/>
    <row r="505" s="7" customFormat="1" ht="13.5" customHeight="1"/>
    <row r="506" s="7" customFormat="1" ht="13.5" customHeight="1"/>
    <row r="507" s="7" customFormat="1" ht="13.5" customHeight="1"/>
    <row r="508" s="7" customFormat="1" ht="13.5" customHeight="1"/>
    <row r="509" s="7" customFormat="1" ht="13.5" customHeight="1"/>
    <row r="510" s="7" customFormat="1" ht="13.5" customHeight="1"/>
    <row r="511" s="7" customFormat="1" ht="13.5" customHeight="1"/>
    <row r="512" s="7" customFormat="1" ht="13.5" customHeight="1"/>
    <row r="513" s="7" customFormat="1" ht="13.5" customHeight="1"/>
    <row r="514" s="7" customFormat="1" ht="13.5" customHeight="1"/>
    <row r="515" s="7" customFormat="1" ht="13.5" customHeight="1"/>
    <row r="516" s="7" customFormat="1" ht="13.5" customHeight="1"/>
    <row r="517" s="7" customFormat="1" ht="13.5" customHeight="1"/>
    <row r="518" s="7" customFormat="1" ht="13.5" customHeight="1"/>
    <row r="519" s="7" customFormat="1" ht="13.5" customHeight="1"/>
    <row r="520" s="7" customFormat="1" ht="13.5" customHeight="1"/>
    <row r="521" s="7" customFormat="1" ht="13.5" customHeight="1"/>
    <row r="522" s="7" customFormat="1" ht="13.5" customHeight="1"/>
    <row r="523" s="7" customFormat="1" ht="13.5" customHeight="1"/>
    <row r="524" s="7" customFormat="1" ht="13.5" customHeight="1"/>
    <row r="525" s="7" customFormat="1" ht="13.5" customHeight="1"/>
    <row r="526" s="7" customFormat="1" ht="13.5" customHeight="1"/>
    <row r="527" s="7" customFormat="1" ht="13.5" customHeight="1"/>
    <row r="528" s="7" customFormat="1" ht="13.5" customHeight="1"/>
    <row r="529" s="7" customFormat="1" ht="13.5" customHeight="1"/>
    <row r="530" s="7" customFormat="1" ht="13.5" customHeight="1"/>
    <row r="531" s="7" customFormat="1" ht="13.5" customHeight="1"/>
    <row r="532" s="7" customFormat="1" ht="13.5" customHeight="1"/>
    <row r="533" s="7" customFormat="1" ht="13.5" customHeight="1"/>
    <row r="534" s="7" customFormat="1" ht="13.5" customHeight="1"/>
    <row r="535" s="7" customFormat="1" ht="13.5" customHeight="1"/>
    <row r="536" s="7" customFormat="1" ht="13.5" customHeight="1"/>
    <row r="537" s="7" customFormat="1" ht="13.5" customHeight="1"/>
    <row r="538" s="7" customFormat="1" ht="13.5" customHeight="1"/>
    <row r="539" s="7" customFormat="1" ht="13.5" customHeight="1"/>
    <row r="540" s="7" customFormat="1" ht="13.5" customHeight="1"/>
    <row r="541" s="7" customFormat="1" ht="13.5" customHeight="1"/>
    <row r="542" s="7" customFormat="1" ht="13.5" customHeight="1"/>
    <row r="543" s="7" customFormat="1" ht="13.5" customHeight="1"/>
    <row r="544" s="7" customFormat="1" ht="13.5" customHeight="1"/>
    <row r="545" s="7" customFormat="1" ht="13.5" customHeight="1"/>
    <row r="546" s="7" customFormat="1" ht="13.5" customHeight="1"/>
    <row r="547" s="7" customFormat="1" ht="13.5" customHeight="1"/>
    <row r="548" s="7" customFormat="1" ht="13.5" customHeight="1"/>
    <row r="549" s="7" customFormat="1" ht="13.5" customHeight="1"/>
    <row r="550" s="7" customFormat="1" ht="13.5" customHeight="1"/>
    <row r="551" s="7" customFormat="1" ht="13.5" customHeight="1"/>
    <row r="552" s="7" customFormat="1" ht="13.5" customHeight="1"/>
    <row r="553" s="7" customFormat="1" ht="13.5" customHeight="1"/>
    <row r="554" s="7" customFormat="1" ht="13.5" customHeight="1"/>
    <row r="555" s="7" customFormat="1" ht="13.5" customHeight="1"/>
    <row r="556" s="7" customFormat="1" ht="13.5" customHeight="1"/>
    <row r="557" s="7" customFormat="1" ht="13.5" customHeight="1"/>
    <row r="558" s="7" customFormat="1" ht="13.5" customHeight="1"/>
    <row r="559" s="7" customFormat="1" ht="13.5" customHeight="1"/>
    <row r="560" s="7" customFormat="1" ht="13.5" customHeight="1"/>
    <row r="561" s="7" customFormat="1" ht="13.5" customHeight="1"/>
    <row r="562" s="7" customFormat="1" ht="13.5" customHeight="1"/>
    <row r="563" s="7" customFormat="1" ht="13.5" customHeight="1"/>
    <row r="564" s="7" customFormat="1" ht="13.5" customHeight="1"/>
    <row r="565" s="7" customFormat="1" ht="13.5" customHeight="1"/>
    <row r="566" s="7" customFormat="1" ht="13.5" customHeight="1"/>
    <row r="567" s="7" customFormat="1" ht="13.5" customHeight="1"/>
    <row r="568" s="7" customFormat="1" ht="13.5" customHeight="1"/>
    <row r="569" s="7" customFormat="1" ht="13.5" customHeight="1"/>
    <row r="570" s="7" customFormat="1" ht="13.5" customHeight="1"/>
    <row r="571" s="7" customFormat="1" ht="13.5" customHeight="1"/>
    <row r="572" s="7" customFormat="1" ht="13.5" customHeight="1"/>
    <row r="573" s="7" customFormat="1" ht="13.5" customHeight="1"/>
    <row r="574" s="7" customFormat="1" ht="13.5" customHeight="1"/>
    <row r="575" s="7" customFormat="1" ht="13.5" customHeight="1"/>
    <row r="576" s="7" customFormat="1" ht="13.5" customHeight="1"/>
    <row r="577" s="7" customFormat="1" ht="13.5" customHeight="1"/>
    <row r="578" s="7" customFormat="1" ht="13.5" customHeight="1"/>
    <row r="579" s="7" customFormat="1" ht="13.5" customHeight="1"/>
    <row r="580" s="7" customFormat="1" ht="13.5" customHeight="1"/>
    <row r="581" s="7" customFormat="1" ht="13.5" customHeight="1"/>
    <row r="582" s="7" customFormat="1" ht="13.5" customHeight="1"/>
    <row r="583" s="7" customFormat="1" ht="13.5" customHeight="1"/>
    <row r="584" s="7" customFormat="1" ht="13.5" customHeight="1"/>
    <row r="585" s="7" customFormat="1" ht="13.5" customHeight="1"/>
    <row r="586" s="7" customFormat="1" ht="13.5" customHeight="1"/>
    <row r="587" s="7" customFormat="1" ht="13.5" customHeight="1"/>
    <row r="588" s="7" customFormat="1" ht="13.5" customHeight="1"/>
    <row r="589" s="7" customFormat="1" ht="13.5" customHeight="1"/>
    <row r="590" s="7" customFormat="1" ht="13.5" customHeight="1"/>
    <row r="591" s="7" customFormat="1" ht="13.5" customHeight="1"/>
    <row r="592" s="7" customFormat="1" ht="13.5" customHeight="1"/>
    <row r="593" s="7" customFormat="1" ht="13.5" customHeight="1"/>
    <row r="594" s="7" customFormat="1" ht="13.5" customHeight="1"/>
    <row r="595" s="7" customFormat="1" ht="13.5" customHeight="1"/>
    <row r="596" s="7" customFormat="1" ht="13.5" customHeight="1"/>
    <row r="597" s="7" customFormat="1" ht="13.5" customHeight="1"/>
    <row r="598" s="7" customFormat="1" ht="13.5" customHeight="1"/>
    <row r="599" s="7" customFormat="1" ht="13.5" customHeight="1"/>
    <row r="600" s="7" customFormat="1" ht="13.5" customHeight="1"/>
    <row r="601" s="7" customFormat="1" ht="13.5" customHeight="1"/>
    <row r="602" s="7" customFormat="1" ht="13.5" customHeight="1"/>
    <row r="603" s="7" customFormat="1" ht="13.5" customHeight="1"/>
    <row r="604" s="7" customFormat="1" ht="13.5" customHeight="1"/>
    <row r="605" s="7" customFormat="1" ht="13.5" customHeight="1"/>
    <row r="606" s="7" customFormat="1" ht="13.5" customHeight="1"/>
    <row r="607" s="7" customFormat="1" ht="13.5" customHeight="1"/>
    <row r="608" s="7" customFormat="1" ht="13.5" customHeight="1"/>
    <row r="609" s="7" customFormat="1" ht="13.5" customHeight="1"/>
    <row r="610" s="7" customFormat="1" ht="13.5" customHeight="1"/>
    <row r="611" s="7" customFormat="1" ht="13.5" customHeight="1"/>
    <row r="612" s="7" customFormat="1" ht="13.5" customHeight="1"/>
    <row r="613" s="7" customFormat="1" ht="13.5" customHeight="1"/>
    <row r="614" s="7" customFormat="1" ht="13.5" customHeight="1"/>
    <row r="615" s="7" customFormat="1" ht="13.5" customHeight="1"/>
    <row r="616" s="7" customFormat="1" ht="13.5" customHeight="1"/>
    <row r="617" s="7" customFormat="1" ht="13.5" customHeight="1"/>
    <row r="618" s="7" customFormat="1" ht="13.5" customHeight="1"/>
    <row r="619" s="7" customFormat="1" ht="13.5" customHeight="1"/>
    <row r="620" s="7" customFormat="1" ht="13.5" customHeight="1"/>
    <row r="621" s="7" customFormat="1" ht="13.5" customHeight="1"/>
    <row r="622" s="7" customFormat="1" ht="13.5" customHeight="1"/>
    <row r="623" s="7" customFormat="1" ht="13.5" customHeight="1"/>
    <row r="624" s="7" customFormat="1" ht="13.5" customHeight="1"/>
    <row r="625" s="7" customFormat="1" ht="13.5" customHeight="1"/>
    <row r="626" s="7" customFormat="1" ht="13.5" customHeight="1"/>
    <row r="627" s="7" customFormat="1" ht="13.5" customHeight="1"/>
    <row r="628" s="7" customFormat="1" ht="13.5" customHeight="1"/>
    <row r="629" s="7" customFormat="1" ht="13.5" customHeight="1"/>
    <row r="630" s="7" customFormat="1" ht="13.5" customHeight="1"/>
    <row r="631" s="7" customFormat="1" ht="13.5" customHeight="1"/>
    <row r="632" s="7" customFormat="1" ht="13.5" customHeight="1"/>
    <row r="633" s="7" customFormat="1" ht="13.5" customHeight="1"/>
    <row r="634" s="7" customFormat="1" ht="13.5" customHeight="1"/>
    <row r="635" s="7" customFormat="1" ht="13.5" customHeight="1"/>
    <row r="636" s="7" customFormat="1" ht="13.5" customHeight="1"/>
    <row r="637" s="7" customFormat="1" ht="13.5" customHeight="1"/>
    <row r="638" s="7" customFormat="1" ht="13.5" customHeight="1"/>
    <row r="639" s="7" customFormat="1" ht="13.5" customHeight="1"/>
    <row r="640" s="7" customFormat="1" ht="13.5" customHeight="1"/>
    <row r="641" s="7" customFormat="1" ht="13.5" customHeight="1"/>
    <row r="642" s="7" customFormat="1" ht="13.5" customHeight="1"/>
    <row r="643" s="7" customFormat="1" ht="13.5" customHeight="1"/>
    <row r="644" s="7" customFormat="1" ht="13.5" customHeight="1"/>
    <row r="645" s="7" customFormat="1" ht="13.5" customHeight="1"/>
    <row r="646" s="7" customFormat="1" ht="13.5" customHeight="1"/>
    <row r="647" s="7" customFormat="1" ht="13.5" customHeight="1"/>
    <row r="648" s="7" customFormat="1" ht="13.5" customHeight="1"/>
    <row r="649" s="7" customFormat="1" ht="13.5" customHeight="1"/>
    <row r="650" s="7" customFormat="1" ht="13.5" customHeight="1"/>
    <row r="651" s="7" customFormat="1" ht="13.5" customHeight="1"/>
    <row r="652" s="7" customFormat="1" ht="13.5" customHeight="1"/>
    <row r="653" s="7" customFormat="1" ht="13.5" customHeight="1"/>
    <row r="654" s="7" customFormat="1" ht="13.5" customHeight="1"/>
    <row r="655" s="7" customFormat="1" ht="13.5" customHeight="1"/>
    <row r="656" s="7" customFormat="1" ht="13.5" customHeight="1"/>
    <row r="657" s="7" customFormat="1" ht="13.5" customHeight="1"/>
    <row r="658" s="7" customFormat="1" ht="13.5" customHeight="1"/>
    <row r="659" s="7" customFormat="1" ht="13.5" customHeight="1"/>
    <row r="660" s="7" customFormat="1" ht="13.5" customHeight="1"/>
    <row r="661" s="7" customFormat="1" ht="13.5" customHeight="1"/>
    <row r="662" s="7" customFormat="1" ht="13.5" customHeight="1"/>
    <row r="663" s="7" customFormat="1" ht="13.5" customHeight="1"/>
    <row r="664" s="7" customFormat="1" ht="13.5" customHeight="1"/>
    <row r="665" s="7" customFormat="1" ht="13.5" customHeight="1"/>
    <row r="666" s="7" customFormat="1" ht="13.5" customHeight="1"/>
    <row r="667" s="7" customFormat="1" ht="13.5" customHeight="1"/>
    <row r="668" s="7" customFormat="1" ht="13.5" customHeight="1"/>
    <row r="669" s="7" customFormat="1" ht="13.5" customHeight="1"/>
    <row r="670" s="7" customFormat="1" ht="13.5" customHeight="1"/>
    <row r="671" s="7" customFormat="1" ht="13.5" customHeight="1"/>
    <row r="672" s="7" customFormat="1" ht="13.5" customHeight="1"/>
    <row r="673" s="7" customFormat="1" ht="13.5" customHeight="1"/>
    <row r="674" s="7" customFormat="1" ht="13.5" customHeight="1"/>
    <row r="675" s="7" customFormat="1" ht="13.5" customHeight="1"/>
    <row r="676" s="7" customFormat="1" ht="13.5" customHeight="1"/>
    <row r="677" s="7" customFormat="1" ht="13.5" customHeight="1"/>
    <row r="678" s="7" customFormat="1" ht="13.5" customHeight="1"/>
    <row r="679" s="7" customFormat="1" ht="13.5" customHeight="1"/>
    <row r="680" s="7" customFormat="1" ht="13.5" customHeight="1"/>
    <row r="681" s="7" customFormat="1" ht="13.5" customHeight="1"/>
    <row r="682" s="7" customFormat="1" ht="13.5" customHeight="1"/>
    <row r="683" s="7" customFormat="1" ht="13.5" customHeight="1"/>
    <row r="684" s="7" customFormat="1" ht="13.5" customHeight="1"/>
    <row r="685" s="7" customFormat="1" ht="13.5" customHeight="1"/>
    <row r="686" s="7" customFormat="1" ht="13.5" customHeight="1"/>
    <row r="687" s="7" customFormat="1" ht="13.5" customHeight="1"/>
    <row r="688" s="7" customFormat="1" ht="13.5" customHeight="1"/>
    <row r="689" s="7" customFormat="1" ht="13.5" customHeight="1"/>
    <row r="690" s="7" customFormat="1" ht="13.5" customHeight="1"/>
    <row r="691" s="7" customFormat="1" ht="13.5" customHeight="1"/>
    <row r="692" s="7" customFormat="1" ht="13.5" customHeight="1"/>
    <row r="693" s="7" customFormat="1" ht="13.5" customHeight="1"/>
    <row r="694" s="7" customFormat="1" ht="13.5" customHeight="1"/>
    <row r="695" s="7" customFormat="1" ht="13.5" customHeight="1"/>
    <row r="696" s="7" customFormat="1" ht="13.5" customHeight="1"/>
    <row r="697" s="7" customFormat="1" ht="13.5" customHeight="1"/>
    <row r="698" s="7" customFormat="1" ht="13.5" customHeight="1"/>
    <row r="699" s="7" customFormat="1" ht="13.5" customHeight="1"/>
    <row r="700" s="7" customFormat="1" ht="13.5" customHeight="1"/>
    <row r="701" s="7" customFormat="1" ht="13.5" customHeight="1"/>
    <row r="702" s="7" customFormat="1" ht="13.5" customHeight="1"/>
    <row r="703" s="7" customFormat="1" ht="13.5" customHeight="1"/>
    <row r="704" s="7" customFormat="1" ht="13.5" customHeight="1"/>
    <row r="705" s="7" customFormat="1" ht="13.5" customHeight="1"/>
    <row r="706" s="7" customFormat="1" ht="13.5" customHeight="1"/>
    <row r="707" s="7" customFormat="1" ht="13.5" customHeight="1"/>
    <row r="708" s="7" customFormat="1" ht="13.5" customHeight="1"/>
    <row r="709" s="7" customFormat="1" ht="13.5" customHeight="1"/>
    <row r="710" s="7" customFormat="1" ht="13.5" customHeight="1"/>
    <row r="711" s="7" customFormat="1" ht="13.5" customHeight="1"/>
    <row r="712" s="7" customFormat="1" ht="13.5" customHeight="1"/>
    <row r="713" s="7" customFormat="1" ht="13.5" customHeight="1"/>
    <row r="714" s="7" customFormat="1" ht="13.5" customHeight="1"/>
    <row r="715" s="7" customFormat="1" ht="13.5" customHeight="1"/>
    <row r="716" s="7" customFormat="1" ht="13.5" customHeight="1"/>
    <row r="717" s="7" customFormat="1" ht="13.5" customHeight="1"/>
    <row r="718" s="7" customFormat="1" ht="13.5" customHeight="1"/>
    <row r="719" s="7" customFormat="1" ht="13.5" customHeight="1"/>
    <row r="720" s="7" customFormat="1" ht="13.5" customHeight="1"/>
    <row r="721" s="7" customFormat="1" ht="13.5" customHeight="1"/>
    <row r="722" s="7" customFormat="1" ht="13.5" customHeight="1"/>
    <row r="723" s="7" customFormat="1" ht="13.5" customHeight="1"/>
    <row r="724" s="7" customFormat="1" ht="13.5" customHeight="1"/>
    <row r="725" s="7" customFormat="1" ht="13.5" customHeight="1"/>
    <row r="726" s="7" customFormat="1" ht="13.5" customHeight="1"/>
    <row r="727" s="7" customFormat="1" ht="13.5" customHeight="1"/>
    <row r="728" s="7" customFormat="1" ht="13.5" customHeight="1"/>
    <row r="729" s="7" customFormat="1" ht="13.5" customHeight="1"/>
    <row r="730" s="7" customFormat="1" ht="13.5" customHeight="1"/>
    <row r="731" s="7" customFormat="1" ht="13.5" customHeight="1"/>
    <row r="732" s="7" customFormat="1" ht="13.5" customHeight="1"/>
    <row r="733" s="7" customFormat="1" ht="13.5" customHeight="1"/>
    <row r="734" s="7" customFormat="1" ht="13.5" customHeight="1"/>
    <row r="735" s="7" customFormat="1" ht="13.5" customHeight="1"/>
    <row r="736" s="7" customFormat="1" ht="13.5" customHeight="1"/>
    <row r="737" s="7" customFormat="1" ht="13.5" customHeight="1"/>
    <row r="738" s="7" customFormat="1" ht="13.5" customHeight="1"/>
    <row r="739" s="7" customFormat="1" ht="13.5" customHeight="1"/>
    <row r="740" s="7" customFormat="1" ht="13.5" customHeight="1"/>
    <row r="741" s="7" customFormat="1" ht="13.5" customHeight="1"/>
    <row r="742" s="7" customFormat="1" ht="13.5" customHeight="1"/>
    <row r="743" s="7" customFormat="1" ht="13.5" customHeight="1"/>
    <row r="744" s="7" customFormat="1" ht="13.5" customHeight="1"/>
    <row r="745" s="7" customFormat="1" ht="13.5" customHeight="1"/>
    <row r="746" s="7" customFormat="1" ht="13.5" customHeight="1"/>
    <row r="747" s="7" customFormat="1" ht="13.5" customHeight="1"/>
    <row r="748" s="7" customFormat="1" ht="13.5" customHeight="1"/>
    <row r="749" s="7" customFormat="1" ht="13.5" customHeight="1"/>
    <row r="750" s="7" customFormat="1" ht="13.5" customHeight="1"/>
    <row r="751" s="7" customFormat="1" ht="13.5" customHeight="1"/>
    <row r="752" s="7" customFormat="1" ht="13.5" customHeight="1"/>
    <row r="753" s="7" customFormat="1" ht="13.5" customHeight="1"/>
    <row r="754" s="7" customFormat="1" ht="13.5" customHeight="1"/>
    <row r="755" s="7" customFormat="1" ht="13.5" customHeight="1"/>
    <row r="756" s="7" customFormat="1" ht="13.5" customHeight="1"/>
    <row r="757" s="7" customFormat="1" ht="13.5" customHeight="1"/>
    <row r="758" s="7" customFormat="1" ht="13.5" customHeight="1"/>
    <row r="759" s="7" customFormat="1" ht="13.5" customHeight="1"/>
    <row r="760" s="7" customFormat="1" ht="13.5" customHeight="1"/>
    <row r="761" s="7" customFormat="1" ht="13.5" customHeight="1"/>
    <row r="762" s="7" customFormat="1" ht="13.5" customHeight="1"/>
    <row r="763" s="7" customFormat="1" ht="13.5" customHeight="1"/>
    <row r="764" s="7" customFormat="1" ht="13.5" customHeight="1"/>
    <row r="765" s="7" customFormat="1" ht="13.5" customHeight="1"/>
    <row r="766" s="7" customFormat="1" ht="13.5" customHeight="1"/>
    <row r="767" s="7" customFormat="1" ht="13.5" customHeight="1"/>
    <row r="768" s="7" customFormat="1" ht="13.5" customHeight="1"/>
    <row r="769" s="7" customFormat="1" ht="13.5" customHeight="1"/>
    <row r="770" s="7" customFormat="1" ht="13.5" customHeight="1"/>
    <row r="771" s="7" customFormat="1" ht="13.5" customHeight="1"/>
    <row r="772" s="7" customFormat="1" ht="13.5" customHeight="1"/>
    <row r="773" s="7" customFormat="1" ht="13.5" customHeight="1"/>
    <row r="774" s="7" customFormat="1" ht="13.5" customHeight="1"/>
    <row r="775" s="7" customFormat="1" ht="13.5" customHeight="1"/>
    <row r="776" s="7" customFormat="1" ht="13.5" customHeight="1"/>
    <row r="777" s="7" customFormat="1" ht="13.5" customHeight="1"/>
    <row r="778" s="7" customFormat="1" ht="13.5" customHeight="1"/>
    <row r="779" s="7" customFormat="1" ht="13.5" customHeight="1"/>
    <row r="780" s="7" customFormat="1" ht="13.5" customHeight="1"/>
    <row r="781" s="7" customFormat="1" ht="13.5" customHeight="1"/>
    <row r="782" s="7" customFormat="1" ht="13.5" customHeight="1"/>
    <row r="783" s="7" customFormat="1" ht="13.5" customHeight="1"/>
    <row r="784" s="7" customFormat="1" ht="13.5" customHeight="1"/>
    <row r="785" s="7" customFormat="1" ht="13.5" customHeight="1"/>
    <row r="786" s="7" customFormat="1" ht="13.5" customHeight="1"/>
    <row r="787" s="7" customFormat="1" ht="13.5" customHeight="1"/>
    <row r="788" s="7" customFormat="1" ht="13.5" customHeight="1"/>
    <row r="789" s="7" customFormat="1" ht="13.5" customHeight="1"/>
    <row r="790" s="7" customFormat="1" ht="13.5" customHeight="1"/>
    <row r="791" s="7" customFormat="1" ht="13.5" customHeight="1"/>
    <row r="792" s="7" customFormat="1" ht="13.5" customHeight="1"/>
    <row r="793" s="7" customFormat="1" ht="13.5" customHeight="1"/>
    <row r="794" s="7" customFormat="1" ht="13.5" customHeight="1"/>
    <row r="795" s="7" customFormat="1" ht="13.5" customHeight="1"/>
    <row r="796" s="7" customFormat="1" ht="13.5" customHeight="1"/>
    <row r="797" s="7" customFormat="1" ht="13.5" customHeight="1"/>
    <row r="798" s="7" customFormat="1" ht="13.5" customHeight="1"/>
    <row r="799" s="7" customFormat="1" ht="13.5" customHeight="1"/>
    <row r="800" s="7" customFormat="1" ht="13.5" customHeight="1"/>
    <row r="801" s="7" customFormat="1" ht="13.5" customHeight="1"/>
    <row r="802" s="7" customFormat="1" ht="13.5" customHeight="1"/>
    <row r="803" s="7" customFormat="1" ht="13.5" customHeight="1"/>
    <row r="804" s="7" customFormat="1" ht="13.5" customHeight="1"/>
    <row r="805" s="7" customFormat="1" ht="13.5" customHeight="1"/>
    <row r="806" s="7" customFormat="1" ht="13.5" customHeight="1"/>
    <row r="807" s="7" customFormat="1" ht="13.5" customHeight="1"/>
    <row r="808" s="7" customFormat="1" ht="13.5" customHeight="1"/>
    <row r="809" s="7" customFormat="1" ht="13.5" customHeight="1"/>
    <row r="810" s="7" customFormat="1" ht="13.5" customHeight="1"/>
    <row r="811" s="7" customFormat="1" ht="13.5" customHeight="1"/>
    <row r="812" s="7" customFormat="1" ht="13.5" customHeight="1"/>
    <row r="813" s="7" customFormat="1" ht="13.5" customHeight="1"/>
    <row r="814" s="7" customFormat="1" ht="13.5" customHeight="1"/>
    <row r="815" s="7" customFormat="1" ht="13.5" customHeight="1"/>
    <row r="816" s="7" customFormat="1" ht="13.5" customHeight="1"/>
    <row r="817" s="7" customFormat="1" ht="13.5" customHeight="1"/>
    <row r="818" s="7" customFormat="1" ht="13.5" customHeight="1"/>
    <row r="819" s="7" customFormat="1" ht="13.5" customHeight="1"/>
    <row r="820" s="7" customFormat="1" ht="13.5" customHeight="1"/>
    <row r="821" s="7" customFormat="1" ht="13.5" customHeight="1"/>
    <row r="822" s="7" customFormat="1" ht="13.5" customHeight="1"/>
    <row r="823" s="7" customFormat="1" ht="13.5" customHeight="1"/>
    <row r="824" s="7" customFormat="1" ht="13.5" customHeight="1"/>
    <row r="825" s="7" customFormat="1" ht="13.5" customHeight="1"/>
    <row r="826" s="7" customFormat="1" ht="13.5" customHeight="1"/>
    <row r="827" s="7" customFormat="1" ht="13.5" customHeight="1"/>
    <row r="828" s="7" customFormat="1" ht="13.5" customHeight="1"/>
    <row r="829" s="7" customFormat="1" ht="13.5" customHeight="1"/>
    <row r="830" s="7" customFormat="1" ht="13.5" customHeight="1"/>
    <row r="831" s="7" customFormat="1" ht="13.5" customHeight="1"/>
    <row r="832" s="7" customFormat="1" ht="13.5" customHeight="1"/>
    <row r="833" s="7" customFormat="1" ht="13.5" customHeight="1"/>
    <row r="834" s="7" customFormat="1" ht="13.5" customHeight="1"/>
    <row r="835" s="7" customFormat="1" ht="13.5" customHeight="1"/>
    <row r="836" s="7" customFormat="1" ht="13.5" customHeight="1"/>
    <row r="837" s="7" customFormat="1" ht="13.5" customHeight="1"/>
    <row r="838" s="7" customFormat="1" ht="13.5" customHeight="1"/>
    <row r="839" s="7" customFormat="1" ht="13.5" customHeight="1"/>
    <row r="840" s="7" customFormat="1" ht="13.5" customHeight="1"/>
    <row r="841" s="7" customFormat="1" ht="13.5" customHeight="1"/>
    <row r="842" s="7" customFormat="1" ht="13.5" customHeight="1"/>
    <row r="843" s="7" customFormat="1" ht="13.5" customHeight="1"/>
    <row r="844" s="7" customFormat="1" ht="13.5" customHeight="1"/>
    <row r="845" s="7" customFormat="1" ht="13.5" customHeight="1"/>
    <row r="846" s="7" customFormat="1" ht="13.5" customHeight="1"/>
    <row r="847" s="7" customFormat="1" ht="13.5" customHeight="1"/>
    <row r="848" s="7" customFormat="1" ht="13.5" customHeight="1"/>
    <row r="849" s="7" customFormat="1" ht="13.5" customHeight="1"/>
    <row r="850" s="7" customFormat="1" ht="13.5" customHeight="1"/>
    <row r="851" s="7" customFormat="1" ht="13.5" customHeight="1"/>
    <row r="852" s="7" customFormat="1" ht="13.5" customHeight="1"/>
    <row r="853" s="7" customFormat="1" ht="13.5" customHeight="1"/>
    <row r="854" s="7" customFormat="1" ht="13.5" customHeight="1"/>
    <row r="855" s="7" customFormat="1" ht="13.5" customHeight="1"/>
    <row r="856" s="7" customFormat="1" ht="13.5" customHeight="1"/>
    <row r="857" s="7" customFormat="1" ht="13.5" customHeight="1"/>
    <row r="858" s="7" customFormat="1" ht="13.5" customHeight="1"/>
    <row r="859" s="7" customFormat="1" ht="13.5" customHeight="1"/>
    <row r="860" s="7" customFormat="1" ht="13.5" customHeight="1"/>
    <row r="861" s="7" customFormat="1" ht="13.5" customHeight="1"/>
    <row r="862" s="7" customFormat="1" ht="13.5" customHeight="1"/>
    <row r="863" s="7" customFormat="1" ht="13.5" customHeight="1"/>
    <row r="864" s="7" customFormat="1" ht="13.5" customHeight="1"/>
    <row r="865" s="7" customFormat="1" ht="13.5" customHeight="1"/>
    <row r="866" s="7" customFormat="1" ht="13.5" customHeight="1"/>
    <row r="867" s="7" customFormat="1" ht="13.5" customHeight="1"/>
    <row r="868" s="7" customFormat="1" ht="13.5" customHeight="1"/>
    <row r="869" s="7" customFormat="1" ht="13.5" customHeight="1"/>
    <row r="870" s="7" customFormat="1" ht="13.5" customHeight="1"/>
    <row r="871" s="7" customFormat="1" ht="13.5" customHeight="1"/>
    <row r="872" s="7" customFormat="1" ht="13.5" customHeight="1"/>
    <row r="873" s="7" customFormat="1" ht="13.5" customHeight="1"/>
    <row r="874" s="7" customFormat="1" ht="13.5" customHeight="1"/>
    <row r="875" s="7" customFormat="1" ht="13.5" customHeight="1"/>
    <row r="876" s="7" customFormat="1" ht="13.5" customHeight="1"/>
    <row r="877" s="7" customFormat="1" ht="13.5" customHeight="1"/>
    <row r="878" s="7" customFormat="1" ht="13.5" customHeight="1"/>
    <row r="879" s="7" customFormat="1" ht="13.5" customHeight="1"/>
    <row r="880" s="7" customFormat="1" ht="13.5" customHeight="1"/>
    <row r="881" s="7" customFormat="1" ht="13.5" customHeight="1"/>
    <row r="882" s="7" customFormat="1" ht="13.5" customHeight="1"/>
    <row r="883" s="7" customFormat="1" ht="13.5" customHeight="1"/>
    <row r="884" s="7" customFormat="1" ht="13.5" customHeight="1"/>
    <row r="885" s="7" customFormat="1" ht="13.5" customHeight="1"/>
    <row r="886" s="7" customFormat="1" ht="13.5" customHeight="1"/>
    <row r="887" s="7" customFormat="1" ht="13.5" customHeight="1"/>
    <row r="888" s="7" customFormat="1" ht="13.5" customHeight="1"/>
    <row r="889" s="7" customFormat="1" ht="13.5" customHeight="1"/>
    <row r="890" s="7" customFormat="1" ht="13.5" customHeight="1"/>
    <row r="891" s="7" customFormat="1" ht="13.5" customHeight="1"/>
    <row r="892" s="7" customFormat="1" ht="13.5" customHeight="1"/>
    <row r="893" s="7" customFormat="1" ht="13.5" customHeight="1"/>
    <row r="894" s="7" customFormat="1" ht="13.5" customHeight="1"/>
    <row r="895" s="7" customFormat="1" ht="13.5" customHeight="1"/>
    <row r="896" s="7" customFormat="1" ht="13.5" customHeight="1"/>
    <row r="897" s="7" customFormat="1" ht="13.5" customHeight="1"/>
    <row r="898" s="7" customFormat="1" ht="13.5" customHeight="1"/>
    <row r="899" s="7" customFormat="1" ht="13.5" customHeight="1"/>
    <row r="900" s="7" customFormat="1" ht="13.5" customHeight="1"/>
    <row r="901" s="7" customFormat="1" ht="13.5" customHeight="1"/>
    <row r="902" s="7" customFormat="1" ht="13.5" customHeight="1"/>
    <row r="903" s="7" customFormat="1" ht="13.5" customHeight="1"/>
    <row r="904" s="7" customFormat="1" ht="13.5" customHeight="1"/>
    <row r="905" s="7" customFormat="1" ht="13.5" customHeight="1"/>
    <row r="906" s="7" customFormat="1" ht="13.5" customHeight="1"/>
    <row r="907" s="7" customFormat="1" ht="13.5" customHeight="1"/>
    <row r="908" s="7" customFormat="1" ht="13.5" customHeight="1"/>
    <row r="909" s="7" customFormat="1" ht="13.5" customHeight="1"/>
    <row r="910" s="7" customFormat="1" ht="13.5" customHeight="1"/>
    <row r="911" s="7" customFormat="1" ht="13.5" customHeight="1"/>
    <row r="912" s="7" customFormat="1" ht="13.5" customHeight="1"/>
    <row r="913" s="7" customFormat="1" ht="13.5" customHeight="1"/>
    <row r="914" s="7" customFormat="1" ht="13.5" customHeight="1"/>
    <row r="915" s="7" customFormat="1" ht="13.5" customHeight="1"/>
    <row r="916" s="7" customFormat="1" ht="13.5" customHeight="1"/>
    <row r="917" s="7" customFormat="1" ht="13.5" customHeight="1"/>
    <row r="918" s="7" customFormat="1" ht="13.5" customHeight="1"/>
    <row r="919" s="7" customFormat="1" ht="13.5" customHeight="1"/>
    <row r="920" s="7" customFormat="1" ht="13.5" customHeight="1"/>
    <row r="921" s="7" customFormat="1" ht="13.5" customHeight="1"/>
    <row r="922" s="7" customFormat="1" ht="13.5" customHeight="1"/>
    <row r="923" s="7" customFormat="1" ht="13.5" customHeight="1"/>
    <row r="924" s="7" customFormat="1" ht="13.5" customHeight="1"/>
    <row r="925" s="7" customFormat="1" ht="13.5" customHeight="1"/>
    <row r="926" s="7" customFormat="1" ht="13.5" customHeight="1"/>
    <row r="927" s="7" customFormat="1" ht="13.5" customHeight="1"/>
    <row r="928" s="7" customFormat="1" ht="13.5" customHeight="1"/>
    <row r="929" s="7" customFormat="1" ht="13.5" customHeight="1"/>
    <row r="930" s="7" customFormat="1" ht="13.5" customHeight="1"/>
    <row r="931" s="7" customFormat="1" ht="13.5" customHeight="1"/>
    <row r="932" s="7" customFormat="1" ht="13.5" customHeight="1"/>
    <row r="933" s="7" customFormat="1" ht="13.5" customHeight="1"/>
    <row r="934" s="7" customFormat="1" ht="13.5" customHeight="1"/>
    <row r="935" s="7" customFormat="1" ht="13.5" customHeight="1"/>
    <row r="936" s="7" customFormat="1" ht="13.5" customHeight="1"/>
    <row r="937" s="7" customFormat="1" ht="13.5" customHeight="1"/>
    <row r="938" s="7" customFormat="1" ht="13.5" customHeight="1"/>
    <row r="939" s="7" customFormat="1" ht="13.5" customHeight="1"/>
    <row r="940" s="7" customFormat="1" ht="13.5" customHeight="1"/>
    <row r="941" s="7" customFormat="1" ht="13.5" customHeight="1"/>
    <row r="942" s="7" customFormat="1" ht="13.5" customHeight="1"/>
    <row r="943" s="7" customFormat="1" ht="13.5" customHeight="1"/>
    <row r="944" s="7" customFormat="1" ht="13.5" customHeight="1"/>
    <row r="945" s="7" customFormat="1" ht="13.5" customHeight="1"/>
    <row r="946" s="7" customFormat="1" ht="13.5" customHeight="1"/>
    <row r="947" s="7" customFormat="1" ht="13.5" customHeight="1"/>
    <row r="948" s="7" customFormat="1" ht="13.5" customHeight="1"/>
    <row r="949" s="7" customFormat="1" ht="13.5" customHeight="1"/>
    <row r="950" s="7" customFormat="1" ht="13.5" customHeight="1"/>
    <row r="951" s="7" customFormat="1" ht="13.5" customHeight="1"/>
    <row r="952" s="7" customFormat="1" ht="13.5" customHeight="1"/>
    <row r="953" s="7" customFormat="1" ht="13.5" customHeight="1"/>
    <row r="954" s="7" customFormat="1" ht="13.5" customHeight="1"/>
    <row r="955" s="7" customFormat="1" ht="13.5" customHeight="1"/>
    <row r="956" s="7" customFormat="1" ht="13.5" customHeight="1"/>
    <row r="957" s="7" customFormat="1" ht="13.5" customHeight="1"/>
    <row r="958" s="7" customFormat="1" ht="13.5" customHeight="1"/>
    <row r="959" s="7" customFormat="1" ht="13.5" customHeight="1"/>
    <row r="960" s="7" customFormat="1" ht="13.5" customHeight="1"/>
    <row r="961" s="7" customFormat="1" ht="13.5" customHeight="1"/>
    <row r="962" s="7" customFormat="1" ht="13.5" customHeight="1"/>
    <row r="963" s="7" customFormat="1" ht="13.5" customHeight="1"/>
    <row r="964" s="7" customFormat="1" ht="13.5" customHeight="1"/>
    <row r="965" s="7" customFormat="1" ht="13.5" customHeight="1"/>
    <row r="966" s="7" customFormat="1" ht="13.5" customHeight="1"/>
    <row r="967" s="7" customFormat="1" ht="13.5" customHeight="1"/>
    <row r="968" s="7" customFormat="1" ht="13.5" customHeight="1"/>
    <row r="969" s="7" customFormat="1" ht="13.5" customHeight="1"/>
    <row r="970" s="7" customFormat="1" ht="13.5" customHeight="1"/>
    <row r="971" s="7" customFormat="1" ht="13.5" customHeight="1"/>
    <row r="972" s="7" customFormat="1" ht="13.5" customHeight="1"/>
    <row r="973" s="7" customFormat="1" ht="13.5" customHeight="1"/>
    <row r="974" s="7" customFormat="1" ht="13.5" customHeight="1"/>
    <row r="975" s="7" customFormat="1" ht="13.5" customHeight="1"/>
    <row r="976" s="7" customFormat="1" ht="13.5" customHeight="1"/>
    <row r="977" s="7" customFormat="1" ht="13.5" customHeight="1"/>
    <row r="978" s="7" customFormat="1" ht="13.5" customHeight="1"/>
    <row r="979" s="7" customFormat="1" ht="13.5" customHeight="1"/>
    <row r="980" s="7" customFormat="1" ht="13.5" customHeight="1"/>
    <row r="981" s="7" customFormat="1" ht="13.5" customHeight="1"/>
    <row r="982" s="7" customFormat="1" ht="13.5" customHeight="1"/>
    <row r="983" s="7" customFormat="1" ht="13.5" customHeight="1"/>
    <row r="984" s="7" customFormat="1" ht="13.5" customHeight="1"/>
    <row r="985" s="7" customFormat="1" ht="13.5" customHeight="1"/>
    <row r="986" s="7" customFormat="1" ht="13.5" customHeight="1"/>
    <row r="987" s="7" customFormat="1" ht="13.5" customHeight="1"/>
    <row r="988" s="7" customFormat="1" ht="13.5" customHeight="1"/>
    <row r="989" s="7" customFormat="1" ht="13.5" customHeight="1"/>
    <row r="990" s="7" customFormat="1" ht="13.5" customHeight="1"/>
    <row r="991" s="7" customFormat="1" ht="13.5" customHeight="1"/>
    <row r="992" s="7" customFormat="1" ht="13.5" customHeight="1"/>
    <row r="993" s="7" customFormat="1" ht="13.5" customHeight="1"/>
    <row r="994" s="7" customFormat="1" ht="13.5" customHeight="1"/>
    <row r="995" s="7" customFormat="1" ht="13.5" customHeight="1"/>
    <row r="996" s="7" customFormat="1" ht="13.5" customHeight="1"/>
    <row r="997" s="7" customFormat="1" ht="13.5" customHeight="1"/>
  </sheetData>
  <mergeCells count="6">
    <mergeCell ref="AK3:AU3"/>
    <mergeCell ref="A1:O1"/>
    <mergeCell ref="B3:L3"/>
    <mergeCell ref="M3:W3"/>
    <mergeCell ref="X3:Y3"/>
    <mergeCell ref="Z3:AJ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01"/>
  <sheetViews>
    <sheetView showGridLines="0" topLeftCell="A31" workbookViewId="0">
      <selection activeCell="A34" sqref="A34:XFD37"/>
    </sheetView>
  </sheetViews>
  <sheetFormatPr defaultColWidth="12.6640625" defaultRowHeight="15" customHeight="1"/>
  <cols>
    <col min="1" max="1" width="51" style="7" customWidth="1"/>
    <col min="2" max="5" width="13.9140625" style="7" customWidth="1"/>
    <col min="6" max="6" width="12.75" style="7" customWidth="1"/>
    <col min="7" max="11" width="11.4140625" style="7" customWidth="1"/>
    <col min="12" max="12" width="11" style="7" customWidth="1"/>
    <col min="13" max="26" width="8.6640625" style="7" customWidth="1"/>
    <col min="27" max="16384" width="12.6640625" style="7"/>
  </cols>
  <sheetData>
    <row r="1" spans="1:12" s="373" customFormat="1" ht="13.5" customHeight="1">
      <c r="A1" s="455" t="s">
        <v>381</v>
      </c>
      <c r="B1" s="456"/>
      <c r="C1" s="456"/>
      <c r="D1" s="456"/>
      <c r="E1" s="456"/>
      <c r="F1" s="457"/>
      <c r="G1" s="457"/>
      <c r="H1" s="457"/>
      <c r="I1" s="457"/>
      <c r="J1" s="457"/>
      <c r="K1" s="457"/>
    </row>
    <row r="2" spans="1:12" s="373" customFormat="1" ht="13.5" customHeight="1">
      <c r="A2" s="458"/>
      <c r="B2" s="457"/>
      <c r="C2" s="457"/>
      <c r="D2" s="457"/>
      <c r="E2" s="457"/>
      <c r="F2" s="457"/>
      <c r="G2" s="457"/>
      <c r="H2" s="457"/>
      <c r="I2" s="457"/>
      <c r="J2" s="457"/>
      <c r="K2" s="459" t="s">
        <v>1</v>
      </c>
    </row>
    <row r="3" spans="1:12" ht="13.5" customHeight="1">
      <c r="A3" s="70"/>
      <c r="B3" s="55" t="s">
        <v>2</v>
      </c>
      <c r="C3" s="55" t="s">
        <v>3</v>
      </c>
      <c r="D3" s="55" t="s">
        <v>4</v>
      </c>
      <c r="E3" s="55" t="s">
        <v>5</v>
      </c>
      <c r="F3" s="55" t="s">
        <v>6</v>
      </c>
      <c r="G3" s="54" t="s">
        <v>7</v>
      </c>
      <c r="H3" s="54" t="s">
        <v>8</v>
      </c>
      <c r="I3" s="54" t="s">
        <v>9</v>
      </c>
      <c r="J3" s="54" t="s">
        <v>10</v>
      </c>
      <c r="K3" s="54" t="s">
        <v>11</v>
      </c>
      <c r="L3" s="54" t="s">
        <v>12</v>
      </c>
    </row>
    <row r="4" spans="1:12" ht="13.5" customHeight="1">
      <c r="A4" s="71" t="s">
        <v>382</v>
      </c>
      <c r="B4" s="72">
        <v>114943.3</v>
      </c>
      <c r="C4" s="72">
        <v>117767.64</v>
      </c>
      <c r="D4" s="72">
        <v>150526.26999999999</v>
      </c>
      <c r="E4" s="72">
        <v>155833.81</v>
      </c>
      <c r="F4" s="72">
        <v>167311.37</v>
      </c>
      <c r="G4" s="72">
        <v>169710.21</v>
      </c>
      <c r="H4" s="72">
        <v>177087.83</v>
      </c>
      <c r="I4" s="72">
        <v>182659.73</v>
      </c>
      <c r="J4" s="72">
        <v>193935.31</v>
      </c>
      <c r="K4" s="72">
        <v>208488.82839674986</v>
      </c>
      <c r="L4" s="72">
        <v>227341.891504</v>
      </c>
    </row>
    <row r="5" spans="1:12" ht="13.5" customHeight="1">
      <c r="A5" s="56" t="s">
        <v>383</v>
      </c>
      <c r="B5" s="73">
        <v>83398.009999999995</v>
      </c>
      <c r="C5" s="73">
        <v>87233.99</v>
      </c>
      <c r="D5" s="73">
        <v>112115.3</v>
      </c>
      <c r="E5" s="73">
        <v>114796.79</v>
      </c>
      <c r="F5" s="73">
        <v>122096.61</v>
      </c>
      <c r="G5" s="73">
        <v>126533.99</v>
      </c>
      <c r="H5" s="73">
        <v>136132.66</v>
      </c>
      <c r="I5" s="73">
        <v>143140.87</v>
      </c>
      <c r="J5" s="73">
        <v>144669.82999999999</v>
      </c>
      <c r="K5" s="73">
        <v>158611.77931609991</v>
      </c>
      <c r="L5" s="73">
        <v>170711.313757</v>
      </c>
    </row>
    <row r="6" spans="1:12" ht="13.5" customHeight="1">
      <c r="A6" s="56" t="s">
        <v>384</v>
      </c>
      <c r="B6" s="73">
        <v>28342.6</v>
      </c>
      <c r="C6" s="73">
        <v>28673.89</v>
      </c>
      <c r="D6" s="73">
        <v>35088.75</v>
      </c>
      <c r="E6" s="73">
        <v>37723.26</v>
      </c>
      <c r="F6" s="73">
        <v>40631.410000000003</v>
      </c>
      <c r="G6" s="73">
        <v>38471.86</v>
      </c>
      <c r="H6" s="73">
        <v>36263.050000000003</v>
      </c>
      <c r="I6" s="73">
        <v>34168.519999999997</v>
      </c>
      <c r="J6" s="73">
        <v>42518.75</v>
      </c>
      <c r="K6" s="73">
        <v>42106.525630899931</v>
      </c>
      <c r="L6" s="73">
        <v>47409.916576999996</v>
      </c>
    </row>
    <row r="7" spans="1:12" ht="13.5" customHeight="1">
      <c r="A7" s="56" t="s">
        <v>385</v>
      </c>
      <c r="B7" s="73">
        <v>3202.7</v>
      </c>
      <c r="C7" s="73">
        <v>1859.76</v>
      </c>
      <c r="D7" s="73">
        <v>3322.22</v>
      </c>
      <c r="E7" s="73">
        <v>3313.76</v>
      </c>
      <c r="F7" s="73">
        <v>4583.3599999999997</v>
      </c>
      <c r="G7" s="73">
        <v>4704.3500000000004</v>
      </c>
      <c r="H7" s="73">
        <v>4692.13</v>
      </c>
      <c r="I7" s="73">
        <v>5350.34</v>
      </c>
      <c r="J7" s="73">
        <v>6746.72</v>
      </c>
      <c r="K7" s="73">
        <v>7770.5234497500032</v>
      </c>
      <c r="L7" s="73">
        <v>9220.6611699999994</v>
      </c>
    </row>
    <row r="8" spans="1:12" ht="13.5" customHeight="1">
      <c r="A8" s="74" t="s">
        <v>386</v>
      </c>
      <c r="B8" s="62">
        <v>67370.850000000006</v>
      </c>
      <c r="C8" s="62">
        <v>70879.149999999994</v>
      </c>
      <c r="D8" s="62">
        <v>74033.210000000006</v>
      </c>
      <c r="E8" s="62">
        <v>88944.57</v>
      </c>
      <c r="F8" s="62">
        <v>85904.58</v>
      </c>
      <c r="G8" s="62">
        <v>80775.48</v>
      </c>
      <c r="H8" s="62">
        <v>95166.44</v>
      </c>
      <c r="I8" s="62">
        <v>97143.47</v>
      </c>
      <c r="J8" s="62">
        <v>97883.94</v>
      </c>
      <c r="K8" s="62">
        <v>101187.73997454997</v>
      </c>
      <c r="L8" s="62">
        <v>116454.74598400001</v>
      </c>
    </row>
    <row r="9" spans="1:12" ht="13.5" customHeight="1">
      <c r="A9" s="56" t="s">
        <v>387</v>
      </c>
      <c r="B9" s="73">
        <v>2984.93</v>
      </c>
      <c r="C9" s="73">
        <v>2073.12</v>
      </c>
      <c r="D9" s="73">
        <v>2128.84</v>
      </c>
      <c r="E9" s="73">
        <v>3050.88</v>
      </c>
      <c r="F9" s="73">
        <v>2415.19</v>
      </c>
      <c r="G9" s="73">
        <v>2689.07</v>
      </c>
      <c r="H9" s="73">
        <v>2617.02</v>
      </c>
      <c r="I9" s="73">
        <v>3136.18</v>
      </c>
      <c r="J9" s="73">
        <v>3218.04</v>
      </c>
      <c r="K9" s="73">
        <v>3212.6909557500007</v>
      </c>
      <c r="L9" s="73">
        <v>3789.8632250000001</v>
      </c>
    </row>
    <row r="10" spans="1:12" ht="14.25" customHeight="1">
      <c r="A10" s="56" t="s">
        <v>388</v>
      </c>
      <c r="B10" s="73">
        <v>2985.69</v>
      </c>
      <c r="C10" s="73">
        <v>2813.14</v>
      </c>
      <c r="D10" s="73">
        <v>2269.85</v>
      </c>
      <c r="E10" s="73">
        <v>2825.15</v>
      </c>
      <c r="F10" s="73">
        <v>2680.27</v>
      </c>
      <c r="G10" s="73">
        <v>2463.58</v>
      </c>
      <c r="H10" s="73">
        <v>2931.96</v>
      </c>
      <c r="I10" s="73">
        <v>2469.9899999999998</v>
      </c>
      <c r="J10" s="73">
        <v>2525.9699999999998</v>
      </c>
      <c r="K10" s="73">
        <v>2891.2645264000007</v>
      </c>
      <c r="L10" s="73">
        <v>3917.3522250000001</v>
      </c>
    </row>
    <row r="11" spans="1:12" ht="13.5" customHeight="1">
      <c r="A11" s="56" t="s">
        <v>389</v>
      </c>
      <c r="B11" s="73">
        <v>1617.53</v>
      </c>
      <c r="C11" s="73">
        <v>1657.73</v>
      </c>
      <c r="D11" s="73">
        <v>1426.07</v>
      </c>
      <c r="E11" s="73">
        <v>2295.6999999999998</v>
      </c>
      <c r="F11" s="73">
        <v>1799.54</v>
      </c>
      <c r="G11" s="73">
        <v>2042.64</v>
      </c>
      <c r="H11" s="73">
        <v>2751.19</v>
      </c>
      <c r="I11" s="73">
        <v>1981.34</v>
      </c>
      <c r="J11" s="73">
        <v>1500.78</v>
      </c>
      <c r="K11" s="73">
        <v>1649.0370594500002</v>
      </c>
      <c r="L11" s="73">
        <v>1977.839189</v>
      </c>
    </row>
    <row r="12" spans="1:12" ht="13.5" customHeight="1">
      <c r="A12" s="56" t="s">
        <v>390</v>
      </c>
      <c r="B12" s="73">
        <v>787.93</v>
      </c>
      <c r="C12" s="73">
        <v>721.81</v>
      </c>
      <c r="D12" s="73">
        <v>777.67</v>
      </c>
      <c r="E12" s="73">
        <v>831.77</v>
      </c>
      <c r="F12" s="73">
        <v>777.09</v>
      </c>
      <c r="G12" s="73">
        <v>890.14</v>
      </c>
      <c r="H12" s="73">
        <v>866.67</v>
      </c>
      <c r="I12" s="73">
        <v>902.8</v>
      </c>
      <c r="J12" s="73">
        <v>811.57</v>
      </c>
      <c r="K12" s="73">
        <v>737.83863099999962</v>
      </c>
      <c r="L12" s="73">
        <v>1155.0372480000001</v>
      </c>
    </row>
    <row r="13" spans="1:12" ht="13.5" customHeight="1">
      <c r="A13" s="56" t="s">
        <v>391</v>
      </c>
      <c r="B13" s="73">
        <v>11745.81</v>
      </c>
      <c r="C13" s="73">
        <v>13309.25</v>
      </c>
      <c r="D13" s="73">
        <v>13474.53</v>
      </c>
      <c r="E13" s="73">
        <v>14063.19</v>
      </c>
      <c r="F13" s="73">
        <v>15861.19</v>
      </c>
      <c r="G13" s="73">
        <v>14060.35</v>
      </c>
      <c r="H13" s="73">
        <v>17153.47</v>
      </c>
      <c r="I13" s="73">
        <v>18888.45</v>
      </c>
      <c r="J13" s="73">
        <v>20100.400000000001</v>
      </c>
      <c r="K13" s="73">
        <v>18466.873012800002</v>
      </c>
      <c r="L13" s="73">
        <v>19781.077150000001</v>
      </c>
    </row>
    <row r="14" spans="1:12" ht="13.5" customHeight="1">
      <c r="A14" s="56" t="s">
        <v>392</v>
      </c>
      <c r="B14" s="73">
        <v>3505.32</v>
      </c>
      <c r="C14" s="73">
        <v>3854.77</v>
      </c>
      <c r="D14" s="73">
        <v>4307.96</v>
      </c>
      <c r="E14" s="73">
        <v>7261.6</v>
      </c>
      <c r="F14" s="73">
        <v>3671.13</v>
      </c>
      <c r="G14" s="73">
        <v>3194.56</v>
      </c>
      <c r="H14" s="73">
        <v>3918.15</v>
      </c>
      <c r="I14" s="73">
        <v>3548.62</v>
      </c>
      <c r="J14" s="73">
        <v>3315.93</v>
      </c>
      <c r="K14" s="73">
        <v>3045.7239084499993</v>
      </c>
      <c r="L14" s="73">
        <v>4225.7447689999999</v>
      </c>
    </row>
    <row r="15" spans="1:12" ht="13.5" customHeight="1">
      <c r="A15" s="56" t="s">
        <v>393</v>
      </c>
      <c r="B15" s="73">
        <v>4172.83</v>
      </c>
      <c r="C15" s="73">
        <v>5097.58</v>
      </c>
      <c r="D15" s="73">
        <v>5210.7700000000004</v>
      </c>
      <c r="E15" s="73">
        <v>6300.42</v>
      </c>
      <c r="F15" s="73">
        <v>6232.56</v>
      </c>
      <c r="G15" s="73">
        <v>5866.56</v>
      </c>
      <c r="H15" s="73">
        <v>6410.8</v>
      </c>
      <c r="I15" s="73">
        <v>6586.81</v>
      </c>
      <c r="J15" s="73">
        <v>6988.72</v>
      </c>
      <c r="K15" s="73">
        <v>6615.8130946500005</v>
      </c>
      <c r="L15" s="73">
        <v>7501.5992180000003</v>
      </c>
    </row>
    <row r="16" spans="1:12" ht="13.5" customHeight="1">
      <c r="A16" s="56" t="s">
        <v>394</v>
      </c>
      <c r="B16" s="73">
        <v>4490.18</v>
      </c>
      <c r="C16" s="73">
        <v>5359.23</v>
      </c>
      <c r="D16" s="73">
        <v>6889.76</v>
      </c>
      <c r="E16" s="73">
        <v>6390.8</v>
      </c>
      <c r="F16" s="73">
        <v>7850.34</v>
      </c>
      <c r="G16" s="73">
        <v>8946.08</v>
      </c>
      <c r="H16" s="73">
        <v>9336.5499999999993</v>
      </c>
      <c r="I16" s="73">
        <v>11811.11</v>
      </c>
      <c r="J16" s="73">
        <v>11216.36</v>
      </c>
      <c r="K16" s="73">
        <v>14423.324665799999</v>
      </c>
      <c r="L16" s="73">
        <v>15603.208586000001</v>
      </c>
    </row>
    <row r="17" spans="1:12" ht="13.5" customHeight="1">
      <c r="A17" s="56" t="s">
        <v>395</v>
      </c>
      <c r="B17" s="73">
        <v>11649.31</v>
      </c>
      <c r="C17" s="73">
        <v>11450.18</v>
      </c>
      <c r="D17" s="73">
        <v>11797.26</v>
      </c>
      <c r="E17" s="73">
        <v>14096.59</v>
      </c>
      <c r="F17" s="73">
        <v>14688.7</v>
      </c>
      <c r="G17" s="73">
        <v>12827.21</v>
      </c>
      <c r="H17" s="73">
        <v>16727.830000000002</v>
      </c>
      <c r="I17" s="73">
        <v>17625.52</v>
      </c>
      <c r="J17" s="73">
        <v>18977.02</v>
      </c>
      <c r="K17" s="73">
        <v>18705.195184049997</v>
      </c>
      <c r="L17" s="73">
        <v>23014.219052</v>
      </c>
    </row>
    <row r="18" spans="1:12" ht="13.5" customHeight="1">
      <c r="A18" s="75" t="s">
        <v>396</v>
      </c>
      <c r="B18" s="73">
        <v>1995.4</v>
      </c>
      <c r="C18" s="73">
        <v>1774.43</v>
      </c>
      <c r="D18" s="73">
        <v>1756.93</v>
      </c>
      <c r="E18" s="73">
        <v>2202.19</v>
      </c>
      <c r="F18" s="73">
        <v>2202.23</v>
      </c>
      <c r="G18" s="73">
        <v>2338.15</v>
      </c>
      <c r="H18" s="73">
        <v>2685.54</v>
      </c>
      <c r="I18" s="73">
        <v>2696.17</v>
      </c>
      <c r="J18" s="73">
        <v>2873.13</v>
      </c>
      <c r="K18" s="73">
        <v>2796.0710119499995</v>
      </c>
      <c r="L18" s="73">
        <v>3405.029395</v>
      </c>
    </row>
    <row r="19" spans="1:12" ht="13.5" customHeight="1">
      <c r="A19" s="75" t="s">
        <v>397</v>
      </c>
      <c r="B19" s="73">
        <v>2833.5</v>
      </c>
      <c r="C19" s="73">
        <v>2740.61</v>
      </c>
      <c r="D19" s="73">
        <v>2676.42</v>
      </c>
      <c r="E19" s="73">
        <v>3312.88</v>
      </c>
      <c r="F19" s="73">
        <v>3280.36</v>
      </c>
      <c r="G19" s="73">
        <v>3351.75</v>
      </c>
      <c r="H19" s="73">
        <v>3631.25</v>
      </c>
      <c r="I19" s="73">
        <v>4138.3999999999996</v>
      </c>
      <c r="J19" s="73">
        <v>4738.46</v>
      </c>
      <c r="K19" s="73">
        <v>5293.8321312999969</v>
      </c>
      <c r="L19" s="73">
        <v>5203.3318449999997</v>
      </c>
    </row>
    <row r="20" spans="1:12" ht="13.5" customHeight="1">
      <c r="A20" s="56" t="s">
        <v>398</v>
      </c>
      <c r="B20" s="73">
        <v>14473.83</v>
      </c>
      <c r="C20" s="73">
        <v>14750.4</v>
      </c>
      <c r="D20" s="73">
        <v>15531.06</v>
      </c>
      <c r="E20" s="73">
        <v>18986.53</v>
      </c>
      <c r="F20" s="73">
        <v>17196.849999999999</v>
      </c>
      <c r="G20" s="73">
        <v>15496.39</v>
      </c>
      <c r="H20" s="73">
        <v>19980.54</v>
      </c>
      <c r="I20" s="73">
        <v>17831.7</v>
      </c>
      <c r="J20" s="73">
        <v>17085.34</v>
      </c>
      <c r="K20" s="73">
        <v>18357.674591099982</v>
      </c>
      <c r="L20" s="73">
        <v>20027.518907999998</v>
      </c>
    </row>
    <row r="21" spans="1:12" ht="13.5" customHeight="1">
      <c r="A21" s="56" t="s">
        <v>399</v>
      </c>
      <c r="B21" s="73">
        <v>4128.6000000000004</v>
      </c>
      <c r="C21" s="73">
        <v>5276.91</v>
      </c>
      <c r="D21" s="73">
        <v>5786.09</v>
      </c>
      <c r="E21" s="73">
        <v>7326.87</v>
      </c>
      <c r="F21" s="73">
        <v>7249.14</v>
      </c>
      <c r="G21" s="73">
        <v>6608.99</v>
      </c>
      <c r="H21" s="73">
        <v>6155.46</v>
      </c>
      <c r="I21" s="73">
        <v>5526.38</v>
      </c>
      <c r="J21" s="73">
        <v>4532.22</v>
      </c>
      <c r="K21" s="73">
        <v>4992.4012018500007</v>
      </c>
      <c r="L21" s="73">
        <v>6852.925174</v>
      </c>
    </row>
    <row r="22" spans="1:12" ht="13.5" customHeight="1">
      <c r="A22" s="58" t="s">
        <v>400</v>
      </c>
      <c r="B22" s="73">
        <v>701.93</v>
      </c>
      <c r="C22" s="73">
        <v>387.09</v>
      </c>
      <c r="D22" s="73">
        <v>106.58</v>
      </c>
      <c r="E22" s="73">
        <v>980.21</v>
      </c>
      <c r="F22" s="73">
        <v>818.97</v>
      </c>
      <c r="G22" s="73">
        <v>1314.71</v>
      </c>
      <c r="H22" s="73">
        <v>822.65</v>
      </c>
      <c r="I22" s="73">
        <v>964.72</v>
      </c>
      <c r="J22" s="73">
        <v>330.42</v>
      </c>
      <c r="K22" s="73">
        <v>971.22266935000005</v>
      </c>
      <c r="L22" s="73">
        <v>748.15629100000001</v>
      </c>
    </row>
    <row r="23" spans="1:12" ht="13.5" customHeight="1">
      <c r="A23" s="58" t="s">
        <v>401</v>
      </c>
      <c r="B23" s="73">
        <v>7121.41</v>
      </c>
      <c r="C23" s="73">
        <v>6819.5</v>
      </c>
      <c r="D23" s="73">
        <v>3652.36</v>
      </c>
      <c r="E23" s="73">
        <v>5607.34</v>
      </c>
      <c r="F23" s="73">
        <v>8537.25</v>
      </c>
      <c r="G23" s="73">
        <v>9916.08</v>
      </c>
      <c r="H23" s="73">
        <v>6377.54</v>
      </c>
      <c r="I23" s="73">
        <v>4423.3999999999996</v>
      </c>
      <c r="J23" s="73">
        <v>6964.28</v>
      </c>
      <c r="K23" s="73">
        <v>8884.95420285</v>
      </c>
      <c r="L23" s="73">
        <v>7074.6656780000003</v>
      </c>
    </row>
    <row r="24" spans="1:12" ht="13.5" customHeight="1">
      <c r="A24" s="58" t="s">
        <v>402</v>
      </c>
      <c r="B24" s="73">
        <v>8215.42</v>
      </c>
      <c r="C24" s="73">
        <v>12454.56</v>
      </c>
      <c r="D24" s="73">
        <v>13986.57</v>
      </c>
      <c r="E24" s="73">
        <v>34216.97</v>
      </c>
      <c r="F24" s="73">
        <v>49659.29</v>
      </c>
      <c r="G24" s="73">
        <v>55172.73</v>
      </c>
      <c r="H24" s="73">
        <v>67762.679999999993</v>
      </c>
      <c r="I24" s="73">
        <v>54746.81</v>
      </c>
      <c r="J24" s="73">
        <v>91366.66</v>
      </c>
      <c r="K24" s="73">
        <v>75907.901110749997</v>
      </c>
      <c r="L24" s="73">
        <v>112770.59316</v>
      </c>
    </row>
    <row r="25" spans="1:12" ht="13.5" customHeight="1">
      <c r="A25" s="58" t="s">
        <v>403</v>
      </c>
      <c r="B25" s="73">
        <v>8259.41</v>
      </c>
      <c r="C25" s="73">
        <v>40356.44</v>
      </c>
      <c r="D25" s="73">
        <v>9639.8799999999992</v>
      </c>
      <c r="E25" s="73">
        <v>9351.32</v>
      </c>
      <c r="F25" s="73">
        <v>4703.87</v>
      </c>
      <c r="G25" s="73">
        <v>7973.37</v>
      </c>
      <c r="H25" s="73">
        <v>1398.43</v>
      </c>
      <c r="I25" s="73">
        <v>12210.48</v>
      </c>
      <c r="J25" s="73">
        <v>3003.26</v>
      </c>
      <c r="K25" s="73">
        <v>2853.2838326000001</v>
      </c>
      <c r="L25" s="73">
        <v>2380.0998319999999</v>
      </c>
    </row>
    <row r="26" spans="1:12" ht="13.5" customHeight="1">
      <c r="A26" s="58" t="s">
        <v>404</v>
      </c>
      <c r="B26" s="73">
        <v>7812.17</v>
      </c>
      <c r="C26" s="73">
        <v>10282.42</v>
      </c>
      <c r="D26" s="73">
        <v>7639.18</v>
      </c>
      <c r="E26" s="73">
        <v>2025.57</v>
      </c>
      <c r="F26" s="73">
        <v>2360.4699999999998</v>
      </c>
      <c r="G26" s="73">
        <v>2550.38</v>
      </c>
      <c r="H26" s="73">
        <v>3059.9</v>
      </c>
      <c r="I26" s="73">
        <v>3202.86</v>
      </c>
      <c r="J26" s="73">
        <v>3282.97</v>
      </c>
      <c r="K26" s="73">
        <v>2759.1676120000002</v>
      </c>
      <c r="L26" s="73">
        <v>4883.1849179999999</v>
      </c>
    </row>
    <row r="27" spans="1:12" ht="13.5" customHeight="1">
      <c r="A27" s="76" t="s">
        <v>405</v>
      </c>
      <c r="B27" s="62">
        <v>97579.77</v>
      </c>
      <c r="C27" s="62">
        <v>84887.8</v>
      </c>
      <c r="D27" s="62">
        <v>66336.42</v>
      </c>
      <c r="E27" s="62">
        <v>96959</v>
      </c>
      <c r="F27" s="62">
        <v>84427.99</v>
      </c>
      <c r="G27" s="62">
        <v>87548.83</v>
      </c>
      <c r="H27" s="62">
        <v>80952.850000000006</v>
      </c>
      <c r="I27" s="62">
        <v>77698.14</v>
      </c>
      <c r="J27" s="62">
        <v>92873.55</v>
      </c>
      <c r="K27" s="62">
        <v>93913.751004949998</v>
      </c>
      <c r="L27" s="62">
        <v>127072.58090299999</v>
      </c>
    </row>
    <row r="28" spans="1:12" ht="13.5" customHeight="1">
      <c r="A28" s="58" t="s">
        <v>406</v>
      </c>
      <c r="B28" s="73">
        <v>78728.22</v>
      </c>
      <c r="C28" s="73">
        <v>70374.240000000005</v>
      </c>
      <c r="D28" s="73">
        <v>52937.88</v>
      </c>
      <c r="E28" s="73">
        <v>77548.44</v>
      </c>
      <c r="F28" s="73">
        <v>70064.350000000006</v>
      </c>
      <c r="G28" s="73">
        <v>73255.14</v>
      </c>
      <c r="H28" s="73">
        <v>68540.92</v>
      </c>
      <c r="I28" s="73">
        <v>61559</v>
      </c>
      <c r="J28" s="73">
        <v>73661.83</v>
      </c>
      <c r="K28" s="73">
        <v>77875.547764499992</v>
      </c>
      <c r="L28" s="73">
        <v>103454.863599</v>
      </c>
    </row>
    <row r="29" spans="1:12" ht="13.5" customHeight="1">
      <c r="A29" s="56" t="s">
        <v>407</v>
      </c>
      <c r="B29" s="73">
        <v>13718.62</v>
      </c>
      <c r="C29" s="73">
        <v>10420.25</v>
      </c>
      <c r="D29" s="73">
        <v>9247.4699999999993</v>
      </c>
      <c r="E29" s="73">
        <v>12473.17</v>
      </c>
      <c r="F29" s="73">
        <v>9775.68</v>
      </c>
      <c r="G29" s="73">
        <v>8842.0300000000007</v>
      </c>
      <c r="H29" s="73">
        <v>7985.18</v>
      </c>
      <c r="I29" s="73">
        <v>12001.37</v>
      </c>
      <c r="J29" s="73">
        <v>13009.75</v>
      </c>
      <c r="K29" s="73">
        <v>11461.963890149997</v>
      </c>
      <c r="L29" s="73">
        <v>17225.363832999999</v>
      </c>
    </row>
    <row r="30" spans="1:12" ht="13.5" customHeight="1">
      <c r="A30" s="56" t="s">
        <v>408</v>
      </c>
      <c r="B30" s="73">
        <v>1498.95</v>
      </c>
      <c r="C30" s="73">
        <v>1336.22</v>
      </c>
      <c r="D30" s="73">
        <v>1757.06</v>
      </c>
      <c r="E30" s="73">
        <v>2214.96</v>
      </c>
      <c r="F30" s="73">
        <v>1749.4</v>
      </c>
      <c r="G30" s="73">
        <v>1600.12</v>
      </c>
      <c r="H30" s="73">
        <v>1667.39</v>
      </c>
      <c r="I30" s="73">
        <v>2069.0100000000002</v>
      </c>
      <c r="J30" s="73">
        <v>2386.79</v>
      </c>
      <c r="K30" s="73">
        <v>2819.9266683500005</v>
      </c>
      <c r="L30" s="73">
        <v>3092.0837969999998</v>
      </c>
    </row>
    <row r="31" spans="1:12" ht="13.5" customHeight="1">
      <c r="A31" s="56" t="s">
        <v>409</v>
      </c>
      <c r="B31" s="73">
        <v>3633.99</v>
      </c>
      <c r="C31" s="73">
        <v>2757.08</v>
      </c>
      <c r="D31" s="73">
        <v>2394.0100000000002</v>
      </c>
      <c r="E31" s="73">
        <v>4722.42</v>
      </c>
      <c r="F31" s="73">
        <v>2838.56</v>
      </c>
      <c r="G31" s="73">
        <v>3851.53</v>
      </c>
      <c r="H31" s="73">
        <v>2759.37</v>
      </c>
      <c r="I31" s="73">
        <v>2068.7600000000002</v>
      </c>
      <c r="J31" s="73">
        <v>3815.19</v>
      </c>
      <c r="K31" s="73">
        <v>1756.3126819500001</v>
      </c>
      <c r="L31" s="73">
        <v>3410.2696740000001</v>
      </c>
    </row>
    <row r="32" spans="1:12" ht="13.5" customHeight="1">
      <c r="A32" s="77" t="s">
        <v>410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>
        <v>-110</v>
      </c>
    </row>
    <row r="33" spans="1:12" ht="13.5" customHeight="1">
      <c r="A33" s="79" t="s">
        <v>136</v>
      </c>
      <c r="B33" s="80">
        <v>317005.69</v>
      </c>
      <c r="C33" s="80">
        <v>350446.59</v>
      </c>
      <c r="D33" s="80">
        <v>336397.48</v>
      </c>
      <c r="E33" s="80">
        <v>405531.74</v>
      </c>
      <c r="F33" s="80">
        <v>417153.55</v>
      </c>
      <c r="G33" s="80">
        <v>414961.79</v>
      </c>
      <c r="H33" s="80">
        <v>432628.32</v>
      </c>
      <c r="I33" s="80">
        <v>433049.61</v>
      </c>
      <c r="J33" s="80">
        <v>489640.38</v>
      </c>
      <c r="K33" s="80">
        <v>494966.84880379983</v>
      </c>
      <c r="L33" s="80">
        <v>598725.91827000002</v>
      </c>
    </row>
    <row r="34" spans="1:12" s="389" customFormat="1" ht="13.5" customHeight="1">
      <c r="A34" s="460" t="s">
        <v>92</v>
      </c>
      <c r="B34" s="461"/>
      <c r="C34" s="461"/>
      <c r="D34" s="461"/>
      <c r="E34" s="461"/>
      <c r="F34" s="461"/>
      <c r="G34" s="445"/>
      <c r="H34" s="445"/>
      <c r="I34" s="445"/>
    </row>
    <row r="35" spans="1:12" s="390" customFormat="1" ht="13.5" customHeight="1">
      <c r="A35" s="438" t="s">
        <v>508</v>
      </c>
      <c r="B35" s="439"/>
      <c r="C35" s="439"/>
      <c r="D35" s="439"/>
      <c r="E35" s="462"/>
      <c r="F35" s="462"/>
      <c r="G35" s="439"/>
      <c r="H35" s="439"/>
      <c r="I35" s="439"/>
      <c r="K35" s="421"/>
    </row>
    <row r="36" spans="1:12" s="390" customFormat="1" ht="13.5" customHeight="1">
      <c r="A36" s="381" t="s">
        <v>377</v>
      </c>
      <c r="E36" s="439"/>
      <c r="F36" s="439"/>
      <c r="G36" s="439"/>
      <c r="H36" s="439"/>
      <c r="I36" s="439"/>
      <c r="K36" s="439"/>
    </row>
    <row r="37" spans="1:12" s="390" customFormat="1" ht="13.5" customHeight="1">
      <c r="A37" s="390" t="s">
        <v>411</v>
      </c>
    </row>
    <row r="38" spans="1:12" ht="13.5" customHeight="1"/>
    <row r="39" spans="1:12" ht="13.5" customHeight="1"/>
    <row r="40" spans="1:12" ht="13.5" customHeight="1"/>
    <row r="41" spans="1:12" ht="13.5" customHeight="1"/>
    <row r="42" spans="1:12" ht="13.5" customHeight="1"/>
    <row r="43" spans="1:12" ht="13.5" customHeight="1"/>
    <row r="44" spans="1:12" ht="13.5" customHeight="1"/>
    <row r="45" spans="1:12" ht="13.5" customHeight="1"/>
    <row r="46" spans="1:12" ht="13.5" customHeight="1"/>
    <row r="47" spans="1:12" ht="13.5" customHeight="1"/>
    <row r="48" spans="1:12" ht="13.5" customHeight="1"/>
    <row r="49" s="7" customFormat="1" ht="13.5" customHeight="1"/>
    <row r="50" s="7" customFormat="1" ht="13.5" customHeight="1"/>
    <row r="51" s="7" customFormat="1" ht="13.5" customHeight="1"/>
    <row r="52" s="7" customFormat="1" ht="13.5" customHeight="1"/>
    <row r="53" s="7" customFormat="1" ht="13.5" customHeight="1"/>
    <row r="54" s="7" customFormat="1" ht="13.5" customHeight="1"/>
    <row r="55" s="7" customFormat="1" ht="13.5" customHeight="1"/>
    <row r="56" s="7" customFormat="1" ht="13.5" customHeight="1"/>
    <row r="57" s="7" customFormat="1" ht="13.5" customHeight="1"/>
    <row r="58" s="7" customFormat="1" ht="13.5" customHeight="1"/>
    <row r="59" s="7" customFormat="1" ht="13.5" customHeight="1"/>
    <row r="60" s="7" customFormat="1" ht="13.5" customHeight="1"/>
    <row r="61" s="7" customFormat="1" ht="13.5" customHeight="1"/>
    <row r="62" s="7" customFormat="1" ht="13.5" customHeight="1"/>
    <row r="63" s="7" customFormat="1" ht="13.5" customHeight="1"/>
    <row r="64" s="7" customFormat="1" ht="13.5" customHeight="1"/>
    <row r="65" s="7" customFormat="1" ht="13.5" customHeight="1"/>
    <row r="66" s="7" customFormat="1" ht="13.5" customHeight="1"/>
    <row r="67" s="7" customFormat="1" ht="13.5" customHeight="1"/>
    <row r="68" s="7" customFormat="1" ht="13.5" customHeight="1"/>
    <row r="69" s="7" customFormat="1" ht="13.5" customHeight="1"/>
    <row r="70" s="7" customFormat="1" ht="13.5" customHeight="1"/>
    <row r="71" s="7" customFormat="1" ht="13.5" customHeight="1"/>
    <row r="72" s="7" customFormat="1" ht="13.5" customHeight="1"/>
    <row r="73" s="7" customFormat="1" ht="13.5" customHeight="1"/>
    <row r="74" s="7" customFormat="1" ht="13.5" customHeight="1"/>
    <row r="75" s="7" customFormat="1" ht="13.5" customHeight="1"/>
    <row r="76" s="7" customFormat="1" ht="13.5" customHeight="1"/>
    <row r="77" s="7" customFormat="1" ht="13.5" customHeight="1"/>
    <row r="78" s="7" customFormat="1" ht="13.5" customHeight="1"/>
    <row r="79" s="7" customFormat="1" ht="13.5" customHeight="1"/>
    <row r="80" s="7" customFormat="1" ht="13.5" customHeight="1"/>
    <row r="81" s="7" customFormat="1" ht="13.5" customHeight="1"/>
    <row r="82" s="7" customFormat="1" ht="13.5" customHeight="1"/>
    <row r="83" s="7" customFormat="1" ht="13.5" customHeight="1"/>
    <row r="84" s="7" customFormat="1" ht="13.5" customHeight="1"/>
    <row r="85" s="7" customFormat="1" ht="13.5" customHeight="1"/>
    <row r="86" s="7" customFormat="1" ht="13.5" customHeight="1"/>
    <row r="87" s="7" customFormat="1" ht="13.5" customHeight="1"/>
    <row r="88" s="7" customFormat="1" ht="13.5" customHeight="1"/>
    <row r="89" s="7" customFormat="1" ht="13.5" customHeight="1"/>
    <row r="90" s="7" customFormat="1" ht="13.5" customHeight="1"/>
    <row r="91" s="7" customFormat="1" ht="13.5" customHeight="1"/>
    <row r="92" s="7" customFormat="1" ht="13.5" customHeight="1"/>
    <row r="93" s="7" customFormat="1" ht="13.5" customHeight="1"/>
    <row r="94" s="7" customFormat="1" ht="13.5" customHeight="1"/>
    <row r="95" s="7" customFormat="1" ht="13.5" customHeight="1"/>
    <row r="96" s="7" customFormat="1" ht="13.5" customHeight="1"/>
    <row r="97" s="7" customFormat="1" ht="13.5" customHeight="1"/>
    <row r="98" s="7" customFormat="1" ht="13.5" customHeight="1"/>
    <row r="99" s="7" customFormat="1" ht="13.5" customHeight="1"/>
    <row r="100" s="7" customFormat="1" ht="13.5" customHeight="1"/>
    <row r="101" s="7" customFormat="1" ht="13.5" customHeight="1"/>
    <row r="102" s="7" customFormat="1" ht="13.5" customHeight="1"/>
    <row r="103" s="7" customFormat="1" ht="13.5" customHeight="1"/>
    <row r="104" s="7" customFormat="1" ht="13.5" customHeight="1"/>
    <row r="105" s="7" customFormat="1" ht="13.5" customHeight="1"/>
    <row r="106" s="7" customFormat="1" ht="13.5" customHeight="1"/>
    <row r="107" s="7" customFormat="1" ht="13.5" customHeight="1"/>
    <row r="108" s="7" customFormat="1" ht="13.5" customHeight="1"/>
    <row r="109" s="7" customFormat="1" ht="13.5" customHeight="1"/>
    <row r="110" s="7" customFormat="1" ht="13.5" customHeight="1"/>
    <row r="111" s="7" customFormat="1" ht="13.5" customHeight="1"/>
    <row r="112" s="7" customFormat="1" ht="13.5" customHeight="1"/>
    <row r="113" s="7" customFormat="1" ht="13.5" customHeight="1"/>
    <row r="114" s="7" customFormat="1" ht="13.5" customHeight="1"/>
    <row r="115" s="7" customFormat="1" ht="13.5" customHeight="1"/>
    <row r="116" s="7" customFormat="1" ht="13.5" customHeight="1"/>
    <row r="117" s="7" customFormat="1" ht="13.5" customHeight="1"/>
    <row r="118" s="7" customFormat="1" ht="13.5" customHeight="1"/>
    <row r="119" s="7" customFormat="1" ht="13.5" customHeight="1"/>
    <row r="120" s="7" customFormat="1" ht="13.5" customHeight="1"/>
    <row r="121" s="7" customFormat="1" ht="13.5" customHeight="1"/>
    <row r="122" s="7" customFormat="1" ht="13.5" customHeight="1"/>
    <row r="123" s="7" customFormat="1" ht="13.5" customHeight="1"/>
    <row r="124" s="7" customFormat="1" ht="13.5" customHeight="1"/>
    <row r="125" s="7" customFormat="1" ht="13.5" customHeight="1"/>
    <row r="126" s="7" customFormat="1" ht="13.5" customHeight="1"/>
    <row r="127" s="7" customFormat="1" ht="13.5" customHeight="1"/>
    <row r="128" s="7" customFormat="1" ht="13.5" customHeight="1"/>
    <row r="129" s="7" customFormat="1" ht="13.5" customHeight="1"/>
    <row r="130" s="7" customFormat="1" ht="13.5" customHeight="1"/>
    <row r="131" s="7" customFormat="1" ht="13.5" customHeight="1"/>
    <row r="132" s="7" customFormat="1" ht="13.5" customHeight="1"/>
    <row r="133" s="7" customFormat="1" ht="13.5" customHeight="1"/>
    <row r="134" s="7" customFormat="1" ht="13.5" customHeight="1"/>
    <row r="135" s="7" customFormat="1" ht="13.5" customHeight="1"/>
    <row r="136" s="7" customFormat="1" ht="13.5" customHeight="1"/>
    <row r="137" s="7" customFormat="1" ht="13.5" customHeight="1"/>
    <row r="138" s="7" customFormat="1" ht="13.5" customHeight="1"/>
    <row r="139" s="7" customFormat="1" ht="13.5" customHeight="1"/>
    <row r="140" s="7" customFormat="1" ht="13.5" customHeight="1"/>
    <row r="141" s="7" customFormat="1" ht="13.5" customHeight="1"/>
    <row r="142" s="7" customFormat="1" ht="13.5" customHeight="1"/>
    <row r="143" s="7" customFormat="1" ht="13.5" customHeight="1"/>
    <row r="144" s="7" customFormat="1" ht="13.5" customHeight="1"/>
    <row r="145" s="7" customFormat="1" ht="13.5" customHeight="1"/>
    <row r="146" s="7" customFormat="1" ht="13.5" customHeight="1"/>
    <row r="147" s="7" customFormat="1" ht="13.5" customHeight="1"/>
    <row r="148" s="7" customFormat="1" ht="13.5" customHeight="1"/>
    <row r="149" s="7" customFormat="1" ht="13.5" customHeight="1"/>
    <row r="150" s="7" customFormat="1" ht="13.5" customHeight="1"/>
    <row r="151" s="7" customFormat="1" ht="13.5" customHeight="1"/>
    <row r="152" s="7" customFormat="1" ht="13.5" customHeight="1"/>
    <row r="153" s="7" customFormat="1" ht="13.5" customHeight="1"/>
    <row r="154" s="7" customFormat="1" ht="13.5" customHeight="1"/>
    <row r="155" s="7" customFormat="1" ht="13.5" customHeight="1"/>
    <row r="156" s="7" customFormat="1" ht="13.5" customHeight="1"/>
    <row r="157" s="7" customFormat="1" ht="13.5" customHeight="1"/>
    <row r="158" s="7" customFormat="1" ht="13.5" customHeight="1"/>
    <row r="159" s="7" customFormat="1" ht="13.5" customHeight="1"/>
    <row r="160" s="7" customFormat="1" ht="13.5" customHeight="1"/>
    <row r="161" s="7" customFormat="1" ht="13.5" customHeight="1"/>
    <row r="162" s="7" customFormat="1" ht="13.5" customHeight="1"/>
    <row r="163" s="7" customFormat="1" ht="13.5" customHeight="1"/>
    <row r="164" s="7" customFormat="1" ht="13.5" customHeight="1"/>
    <row r="165" s="7" customFormat="1" ht="13.5" customHeight="1"/>
    <row r="166" s="7" customFormat="1" ht="13.5" customHeight="1"/>
    <row r="167" s="7" customFormat="1" ht="13.5" customHeight="1"/>
    <row r="168" s="7" customFormat="1" ht="13.5" customHeight="1"/>
    <row r="169" s="7" customFormat="1" ht="13.5" customHeight="1"/>
    <row r="170" s="7" customFormat="1" ht="13.5" customHeight="1"/>
    <row r="171" s="7" customFormat="1" ht="13.5" customHeight="1"/>
    <row r="172" s="7" customFormat="1" ht="13.5" customHeight="1"/>
    <row r="173" s="7" customFormat="1" ht="13.5" customHeight="1"/>
    <row r="174" s="7" customFormat="1" ht="13.5" customHeight="1"/>
    <row r="175" s="7" customFormat="1" ht="13.5" customHeight="1"/>
    <row r="176" s="7" customFormat="1" ht="13.5" customHeight="1"/>
    <row r="177" s="7" customFormat="1" ht="13.5" customHeight="1"/>
    <row r="178" s="7" customFormat="1" ht="13.5" customHeight="1"/>
    <row r="179" s="7" customFormat="1" ht="13.5" customHeight="1"/>
    <row r="180" s="7" customFormat="1" ht="13.5" customHeight="1"/>
    <row r="181" s="7" customFormat="1" ht="13.5" customHeight="1"/>
    <row r="182" s="7" customFormat="1" ht="13.5" customHeight="1"/>
    <row r="183" s="7" customFormat="1" ht="13.5" customHeight="1"/>
    <row r="184" s="7" customFormat="1" ht="13.5" customHeight="1"/>
    <row r="185" s="7" customFormat="1" ht="13.5" customHeight="1"/>
    <row r="186" s="7" customFormat="1" ht="13.5" customHeight="1"/>
    <row r="187" s="7" customFormat="1" ht="13.5" customHeight="1"/>
    <row r="188" s="7" customFormat="1" ht="13.5" customHeight="1"/>
    <row r="189" s="7" customFormat="1" ht="13.5" customHeight="1"/>
    <row r="190" s="7" customFormat="1" ht="13.5" customHeight="1"/>
    <row r="191" s="7" customFormat="1" ht="13.5" customHeight="1"/>
    <row r="192" s="7" customFormat="1" ht="13.5" customHeight="1"/>
    <row r="193" s="7" customFormat="1" ht="13.5" customHeight="1"/>
    <row r="194" s="7" customFormat="1" ht="13.5" customHeight="1"/>
    <row r="195" s="7" customFormat="1" ht="13.5" customHeight="1"/>
    <row r="196" s="7" customFormat="1" ht="13.5" customHeight="1"/>
    <row r="197" s="7" customFormat="1" ht="13.5" customHeight="1"/>
    <row r="198" s="7" customFormat="1" ht="13.5" customHeight="1"/>
    <row r="199" s="7" customFormat="1" ht="13.5" customHeight="1"/>
    <row r="200" s="7" customFormat="1" ht="13.5" customHeight="1"/>
    <row r="201" s="7" customFormat="1" ht="13.5" customHeight="1"/>
    <row r="202" s="7" customFormat="1" ht="13.5" customHeight="1"/>
    <row r="203" s="7" customFormat="1" ht="13.5" customHeight="1"/>
    <row r="204" s="7" customFormat="1" ht="13.5" customHeight="1"/>
    <row r="205" s="7" customFormat="1" ht="13.5" customHeight="1"/>
    <row r="206" s="7" customFormat="1" ht="13.5" customHeight="1"/>
    <row r="207" s="7" customFormat="1" ht="13.5" customHeight="1"/>
    <row r="208" s="7" customFormat="1" ht="13.5" customHeight="1"/>
    <row r="209" s="7" customFormat="1" ht="13.5" customHeight="1"/>
    <row r="210" s="7" customFormat="1" ht="13.5" customHeight="1"/>
    <row r="211" s="7" customFormat="1" ht="13.5" customHeight="1"/>
    <row r="212" s="7" customFormat="1" ht="13.5" customHeight="1"/>
    <row r="213" s="7" customFormat="1" ht="13.5" customHeight="1"/>
    <row r="214" s="7" customFormat="1" ht="13.5" customHeight="1"/>
    <row r="215" s="7" customFormat="1" ht="13.5" customHeight="1"/>
    <row r="216" s="7" customFormat="1" ht="13.5" customHeight="1"/>
    <row r="217" s="7" customFormat="1" ht="13.5" customHeight="1"/>
    <row r="218" s="7" customFormat="1" ht="13.5" customHeight="1"/>
    <row r="219" s="7" customFormat="1" ht="13.5" customHeight="1"/>
    <row r="220" s="7" customFormat="1" ht="13.5" customHeight="1"/>
    <row r="221" s="7" customFormat="1" ht="13.5" customHeight="1"/>
    <row r="222" s="7" customFormat="1" ht="13.5" customHeight="1"/>
    <row r="223" s="7" customFormat="1" ht="13.5" customHeight="1"/>
    <row r="224" s="7" customFormat="1" ht="13.5" customHeight="1"/>
    <row r="225" s="7" customFormat="1" ht="13.5" customHeight="1"/>
    <row r="226" s="7" customFormat="1" ht="13.5" customHeight="1"/>
    <row r="227" s="7" customFormat="1" ht="13.5" customHeight="1"/>
    <row r="228" s="7" customFormat="1" ht="13.5" customHeight="1"/>
    <row r="229" s="7" customFormat="1" ht="13.5" customHeight="1"/>
    <row r="230" s="7" customFormat="1" ht="13.5" customHeight="1"/>
    <row r="231" s="7" customFormat="1" ht="13.5" customHeight="1"/>
    <row r="232" s="7" customFormat="1" ht="13.5" customHeight="1"/>
    <row r="233" s="7" customFormat="1" ht="13.5" customHeight="1"/>
    <row r="234" s="7" customFormat="1" ht="13.5" customHeight="1"/>
    <row r="235" s="7" customFormat="1" ht="13.5" customHeight="1"/>
    <row r="236" s="7" customFormat="1" ht="13.5" customHeight="1"/>
    <row r="237" s="7" customFormat="1" ht="13.5" customHeight="1"/>
    <row r="238" s="7" customFormat="1" ht="13.5" customHeight="1"/>
    <row r="239" s="7" customFormat="1" ht="13.5" customHeight="1"/>
    <row r="240" s="7" customFormat="1" ht="13.5" customHeight="1"/>
    <row r="241" s="7" customFormat="1" ht="13.5" customHeight="1"/>
    <row r="242" s="7" customFormat="1" ht="13.5" customHeight="1"/>
    <row r="243" s="7" customFormat="1" ht="13.5" customHeight="1"/>
    <row r="244" s="7" customFormat="1" ht="13.5" customHeight="1"/>
    <row r="245" s="7" customFormat="1" ht="13.5" customHeight="1"/>
    <row r="246" s="7" customFormat="1" ht="13.5" customHeight="1"/>
    <row r="247" s="7" customFormat="1" ht="13.5" customHeight="1"/>
    <row r="248" s="7" customFormat="1" ht="13.5" customHeight="1"/>
    <row r="249" s="7" customFormat="1" ht="13.5" customHeight="1"/>
    <row r="250" s="7" customFormat="1" ht="13.5" customHeight="1"/>
    <row r="251" s="7" customFormat="1" ht="13.5" customHeight="1"/>
    <row r="252" s="7" customFormat="1" ht="13.5" customHeight="1"/>
    <row r="253" s="7" customFormat="1" ht="13.5" customHeight="1"/>
    <row r="254" s="7" customFormat="1" ht="13.5" customHeight="1"/>
    <row r="255" s="7" customFormat="1" ht="13.5" customHeight="1"/>
    <row r="256" s="7" customFormat="1" ht="13.5" customHeight="1"/>
    <row r="257" s="7" customFormat="1" ht="13.5" customHeight="1"/>
    <row r="258" s="7" customFormat="1" ht="13.5" customHeight="1"/>
    <row r="259" s="7" customFormat="1" ht="13.5" customHeight="1"/>
    <row r="260" s="7" customFormat="1" ht="13.5" customHeight="1"/>
    <row r="261" s="7" customFormat="1" ht="13.5" customHeight="1"/>
    <row r="262" s="7" customFormat="1" ht="13.5" customHeight="1"/>
    <row r="263" s="7" customFormat="1" ht="13.5" customHeight="1"/>
    <row r="264" s="7" customFormat="1" ht="13.5" customHeight="1"/>
    <row r="265" s="7" customFormat="1" ht="13.5" customHeight="1"/>
    <row r="266" s="7" customFormat="1" ht="13.5" customHeight="1"/>
    <row r="267" s="7" customFormat="1" ht="13.5" customHeight="1"/>
    <row r="268" s="7" customFormat="1" ht="13.5" customHeight="1"/>
    <row r="269" s="7" customFormat="1" ht="13.5" customHeight="1"/>
    <row r="270" s="7" customFormat="1" ht="13.5" customHeight="1"/>
    <row r="271" s="7" customFormat="1" ht="13.5" customHeight="1"/>
    <row r="272" s="7" customFormat="1" ht="13.5" customHeight="1"/>
    <row r="273" s="7" customFormat="1" ht="13.5" customHeight="1"/>
    <row r="274" s="7" customFormat="1" ht="13.5" customHeight="1"/>
    <row r="275" s="7" customFormat="1" ht="13.5" customHeight="1"/>
    <row r="276" s="7" customFormat="1" ht="13.5" customHeight="1"/>
    <row r="277" s="7" customFormat="1" ht="13.5" customHeight="1"/>
    <row r="278" s="7" customFormat="1" ht="13.5" customHeight="1"/>
    <row r="279" s="7" customFormat="1" ht="13.5" customHeight="1"/>
    <row r="280" s="7" customFormat="1" ht="13.5" customHeight="1"/>
    <row r="281" s="7" customFormat="1" ht="13.5" customHeight="1"/>
    <row r="282" s="7" customFormat="1" ht="13.5" customHeight="1"/>
    <row r="283" s="7" customFormat="1" ht="13.5" customHeight="1"/>
    <row r="284" s="7" customFormat="1" ht="13.5" customHeight="1"/>
    <row r="285" s="7" customFormat="1" ht="13.5" customHeight="1"/>
    <row r="286" s="7" customFormat="1" ht="13.5" customHeight="1"/>
    <row r="287" s="7" customFormat="1" ht="13.5" customHeight="1"/>
    <row r="288" s="7" customFormat="1" ht="13.5" customHeight="1"/>
    <row r="289" s="7" customFormat="1" ht="13.5" customHeight="1"/>
    <row r="290" s="7" customFormat="1" ht="13.5" customHeight="1"/>
    <row r="291" s="7" customFormat="1" ht="13.5" customHeight="1"/>
    <row r="292" s="7" customFormat="1" ht="13.5" customHeight="1"/>
    <row r="293" s="7" customFormat="1" ht="13.5" customHeight="1"/>
    <row r="294" s="7" customFormat="1" ht="13.5" customHeight="1"/>
    <row r="295" s="7" customFormat="1" ht="13.5" customHeight="1"/>
    <row r="296" s="7" customFormat="1" ht="13.5" customHeight="1"/>
    <row r="297" s="7" customFormat="1" ht="13.5" customHeight="1"/>
    <row r="298" s="7" customFormat="1" ht="13.5" customHeight="1"/>
    <row r="299" s="7" customFormat="1" ht="13.5" customHeight="1"/>
    <row r="300" s="7" customFormat="1" ht="13.5" customHeight="1"/>
    <row r="301" s="7" customFormat="1" ht="13.5" customHeight="1"/>
    <row r="302" s="7" customFormat="1" ht="13.5" customHeight="1"/>
    <row r="303" s="7" customFormat="1" ht="13.5" customHeight="1"/>
    <row r="304" s="7" customFormat="1" ht="13.5" customHeight="1"/>
    <row r="305" s="7" customFormat="1" ht="13.5" customHeight="1"/>
    <row r="306" s="7" customFormat="1" ht="13.5" customHeight="1"/>
    <row r="307" s="7" customFormat="1" ht="13.5" customHeight="1"/>
    <row r="308" s="7" customFormat="1" ht="13.5" customHeight="1"/>
    <row r="309" s="7" customFormat="1" ht="13.5" customHeight="1"/>
    <row r="310" s="7" customFormat="1" ht="13.5" customHeight="1"/>
    <row r="311" s="7" customFormat="1" ht="13.5" customHeight="1"/>
    <row r="312" s="7" customFormat="1" ht="13.5" customHeight="1"/>
    <row r="313" s="7" customFormat="1" ht="13.5" customHeight="1"/>
    <row r="314" s="7" customFormat="1" ht="13.5" customHeight="1"/>
    <row r="315" s="7" customFormat="1" ht="13.5" customHeight="1"/>
    <row r="316" s="7" customFormat="1" ht="13.5" customHeight="1"/>
    <row r="317" s="7" customFormat="1" ht="13.5" customHeight="1"/>
    <row r="318" s="7" customFormat="1" ht="13.5" customHeight="1"/>
    <row r="319" s="7" customFormat="1" ht="13.5" customHeight="1"/>
    <row r="320" s="7" customFormat="1" ht="13.5" customHeight="1"/>
    <row r="321" s="7" customFormat="1" ht="13.5" customHeight="1"/>
    <row r="322" s="7" customFormat="1" ht="13.5" customHeight="1"/>
    <row r="323" s="7" customFormat="1" ht="13.5" customHeight="1"/>
    <row r="324" s="7" customFormat="1" ht="13.5" customHeight="1"/>
    <row r="325" s="7" customFormat="1" ht="13.5" customHeight="1"/>
    <row r="326" s="7" customFormat="1" ht="13.5" customHeight="1"/>
    <row r="327" s="7" customFormat="1" ht="13.5" customHeight="1"/>
    <row r="328" s="7" customFormat="1" ht="13.5" customHeight="1"/>
    <row r="329" s="7" customFormat="1" ht="13.5" customHeight="1"/>
    <row r="330" s="7" customFormat="1" ht="13.5" customHeight="1"/>
    <row r="331" s="7" customFormat="1" ht="13.5" customHeight="1"/>
    <row r="332" s="7" customFormat="1" ht="13.5" customHeight="1"/>
    <row r="333" s="7" customFormat="1" ht="13.5" customHeight="1"/>
    <row r="334" s="7" customFormat="1" ht="13.5" customHeight="1"/>
    <row r="335" s="7" customFormat="1" ht="13.5" customHeight="1"/>
    <row r="336" s="7" customFormat="1" ht="13.5" customHeight="1"/>
    <row r="337" s="7" customFormat="1" ht="13.5" customHeight="1"/>
    <row r="338" s="7" customFormat="1" ht="13.5" customHeight="1"/>
    <row r="339" s="7" customFormat="1" ht="13.5" customHeight="1"/>
    <row r="340" s="7" customFormat="1" ht="13.5" customHeight="1"/>
    <row r="341" s="7" customFormat="1" ht="13.5" customHeight="1"/>
    <row r="342" s="7" customFormat="1" ht="13.5" customHeight="1"/>
    <row r="343" s="7" customFormat="1" ht="13.5" customHeight="1"/>
    <row r="344" s="7" customFormat="1" ht="13.5" customHeight="1"/>
    <row r="345" s="7" customFormat="1" ht="13.5" customHeight="1"/>
    <row r="346" s="7" customFormat="1" ht="13.5" customHeight="1"/>
    <row r="347" s="7" customFormat="1" ht="13.5" customHeight="1"/>
    <row r="348" s="7" customFormat="1" ht="13.5" customHeight="1"/>
    <row r="349" s="7" customFormat="1" ht="13.5" customHeight="1"/>
    <row r="350" s="7" customFormat="1" ht="13.5" customHeight="1"/>
    <row r="351" s="7" customFormat="1" ht="13.5" customHeight="1"/>
    <row r="352" s="7" customFormat="1" ht="13.5" customHeight="1"/>
    <row r="353" s="7" customFormat="1" ht="13.5" customHeight="1"/>
    <row r="354" s="7" customFormat="1" ht="13.5" customHeight="1"/>
    <row r="355" s="7" customFormat="1" ht="13.5" customHeight="1"/>
    <row r="356" s="7" customFormat="1" ht="13.5" customHeight="1"/>
    <row r="357" s="7" customFormat="1" ht="13.5" customHeight="1"/>
    <row r="358" s="7" customFormat="1" ht="13.5" customHeight="1"/>
    <row r="359" s="7" customFormat="1" ht="13.5" customHeight="1"/>
    <row r="360" s="7" customFormat="1" ht="13.5" customHeight="1"/>
    <row r="361" s="7" customFormat="1" ht="13.5" customHeight="1"/>
    <row r="362" s="7" customFormat="1" ht="13.5" customHeight="1"/>
    <row r="363" s="7" customFormat="1" ht="13.5" customHeight="1"/>
    <row r="364" s="7" customFormat="1" ht="13.5" customHeight="1"/>
    <row r="365" s="7" customFormat="1" ht="13.5" customHeight="1"/>
    <row r="366" s="7" customFormat="1" ht="13.5" customHeight="1"/>
    <row r="367" s="7" customFormat="1" ht="13.5" customHeight="1"/>
    <row r="368" s="7" customFormat="1" ht="13.5" customHeight="1"/>
    <row r="369" s="7" customFormat="1" ht="13.5" customHeight="1"/>
    <row r="370" s="7" customFormat="1" ht="13.5" customHeight="1"/>
    <row r="371" s="7" customFormat="1" ht="13.5" customHeight="1"/>
    <row r="372" s="7" customFormat="1" ht="13.5" customHeight="1"/>
    <row r="373" s="7" customFormat="1" ht="13.5" customHeight="1"/>
    <row r="374" s="7" customFormat="1" ht="13.5" customHeight="1"/>
    <row r="375" s="7" customFormat="1" ht="13.5" customHeight="1"/>
    <row r="376" s="7" customFormat="1" ht="13.5" customHeight="1"/>
    <row r="377" s="7" customFormat="1" ht="13.5" customHeight="1"/>
    <row r="378" s="7" customFormat="1" ht="13.5" customHeight="1"/>
    <row r="379" s="7" customFormat="1" ht="13.5" customHeight="1"/>
    <row r="380" s="7" customFormat="1" ht="13.5" customHeight="1"/>
    <row r="381" s="7" customFormat="1" ht="13.5" customHeight="1"/>
    <row r="382" s="7" customFormat="1" ht="13.5" customHeight="1"/>
    <row r="383" s="7" customFormat="1" ht="13.5" customHeight="1"/>
    <row r="384" s="7" customFormat="1" ht="13.5" customHeight="1"/>
    <row r="385" s="7" customFormat="1" ht="13.5" customHeight="1"/>
    <row r="386" s="7" customFormat="1" ht="13.5" customHeight="1"/>
    <row r="387" s="7" customFormat="1" ht="13.5" customHeight="1"/>
    <row r="388" s="7" customFormat="1" ht="13.5" customHeight="1"/>
    <row r="389" s="7" customFormat="1" ht="13.5" customHeight="1"/>
    <row r="390" s="7" customFormat="1" ht="13.5" customHeight="1"/>
    <row r="391" s="7" customFormat="1" ht="13.5" customHeight="1"/>
    <row r="392" s="7" customFormat="1" ht="13.5" customHeight="1"/>
    <row r="393" s="7" customFormat="1" ht="13.5" customHeight="1"/>
    <row r="394" s="7" customFormat="1" ht="13.5" customHeight="1"/>
    <row r="395" s="7" customFormat="1" ht="13.5" customHeight="1"/>
    <row r="396" s="7" customFormat="1" ht="13.5" customHeight="1"/>
    <row r="397" s="7" customFormat="1" ht="13.5" customHeight="1"/>
    <row r="398" s="7" customFormat="1" ht="13.5" customHeight="1"/>
    <row r="399" s="7" customFormat="1" ht="13.5" customHeight="1"/>
    <row r="400" s="7" customFormat="1" ht="13.5" customHeight="1"/>
    <row r="401" s="7" customFormat="1" ht="13.5" customHeight="1"/>
    <row r="402" s="7" customFormat="1" ht="13.5" customHeight="1"/>
    <row r="403" s="7" customFormat="1" ht="13.5" customHeight="1"/>
    <row r="404" s="7" customFormat="1" ht="13.5" customHeight="1"/>
    <row r="405" s="7" customFormat="1" ht="13.5" customHeight="1"/>
    <row r="406" s="7" customFormat="1" ht="13.5" customHeight="1"/>
    <row r="407" s="7" customFormat="1" ht="13.5" customHeight="1"/>
    <row r="408" s="7" customFormat="1" ht="13.5" customHeight="1"/>
    <row r="409" s="7" customFormat="1" ht="13.5" customHeight="1"/>
    <row r="410" s="7" customFormat="1" ht="13.5" customHeight="1"/>
    <row r="411" s="7" customFormat="1" ht="13.5" customHeight="1"/>
    <row r="412" s="7" customFormat="1" ht="13.5" customHeight="1"/>
    <row r="413" s="7" customFormat="1" ht="13.5" customHeight="1"/>
    <row r="414" s="7" customFormat="1" ht="13.5" customHeight="1"/>
    <row r="415" s="7" customFormat="1" ht="13.5" customHeight="1"/>
    <row r="416" s="7" customFormat="1" ht="13.5" customHeight="1"/>
    <row r="417" s="7" customFormat="1" ht="13.5" customHeight="1"/>
    <row r="418" s="7" customFormat="1" ht="13.5" customHeight="1"/>
    <row r="419" s="7" customFormat="1" ht="13.5" customHeight="1"/>
    <row r="420" s="7" customFormat="1" ht="13.5" customHeight="1"/>
    <row r="421" s="7" customFormat="1" ht="13.5" customHeight="1"/>
    <row r="422" s="7" customFormat="1" ht="13.5" customHeight="1"/>
    <row r="423" s="7" customFormat="1" ht="13.5" customHeight="1"/>
    <row r="424" s="7" customFormat="1" ht="13.5" customHeight="1"/>
    <row r="425" s="7" customFormat="1" ht="13.5" customHeight="1"/>
    <row r="426" s="7" customFormat="1" ht="13.5" customHeight="1"/>
    <row r="427" s="7" customFormat="1" ht="13.5" customHeight="1"/>
    <row r="428" s="7" customFormat="1" ht="13.5" customHeight="1"/>
    <row r="429" s="7" customFormat="1" ht="13.5" customHeight="1"/>
    <row r="430" s="7" customFormat="1" ht="13.5" customHeight="1"/>
    <row r="431" s="7" customFormat="1" ht="13.5" customHeight="1"/>
    <row r="432" s="7" customFormat="1" ht="13.5" customHeight="1"/>
    <row r="433" s="7" customFormat="1" ht="13.5" customHeight="1"/>
    <row r="434" s="7" customFormat="1" ht="13.5" customHeight="1"/>
    <row r="435" s="7" customFormat="1" ht="13.5" customHeight="1"/>
    <row r="436" s="7" customFormat="1" ht="13.5" customHeight="1"/>
    <row r="437" s="7" customFormat="1" ht="13.5" customHeight="1"/>
    <row r="438" s="7" customFormat="1" ht="13.5" customHeight="1"/>
    <row r="439" s="7" customFormat="1" ht="13.5" customHeight="1"/>
    <row r="440" s="7" customFormat="1" ht="13.5" customHeight="1"/>
    <row r="441" s="7" customFormat="1" ht="13.5" customHeight="1"/>
    <row r="442" s="7" customFormat="1" ht="13.5" customHeight="1"/>
    <row r="443" s="7" customFormat="1" ht="13.5" customHeight="1"/>
    <row r="444" s="7" customFormat="1" ht="13.5" customHeight="1"/>
    <row r="445" s="7" customFormat="1" ht="13.5" customHeight="1"/>
    <row r="446" s="7" customFormat="1" ht="13.5" customHeight="1"/>
    <row r="447" s="7" customFormat="1" ht="13.5" customHeight="1"/>
    <row r="448" s="7" customFormat="1" ht="13.5" customHeight="1"/>
    <row r="449" s="7" customFormat="1" ht="13.5" customHeight="1"/>
    <row r="450" s="7" customFormat="1" ht="13.5" customHeight="1"/>
    <row r="451" s="7" customFormat="1" ht="13.5" customHeight="1"/>
    <row r="452" s="7" customFormat="1" ht="13.5" customHeight="1"/>
    <row r="453" s="7" customFormat="1" ht="13.5" customHeight="1"/>
    <row r="454" s="7" customFormat="1" ht="13.5" customHeight="1"/>
    <row r="455" s="7" customFormat="1" ht="13.5" customHeight="1"/>
    <row r="456" s="7" customFormat="1" ht="13.5" customHeight="1"/>
    <row r="457" s="7" customFormat="1" ht="13.5" customHeight="1"/>
    <row r="458" s="7" customFormat="1" ht="13.5" customHeight="1"/>
    <row r="459" s="7" customFormat="1" ht="13.5" customHeight="1"/>
    <row r="460" s="7" customFormat="1" ht="13.5" customHeight="1"/>
    <row r="461" s="7" customFormat="1" ht="13.5" customHeight="1"/>
    <row r="462" s="7" customFormat="1" ht="13.5" customHeight="1"/>
    <row r="463" s="7" customFormat="1" ht="13.5" customHeight="1"/>
    <row r="464" s="7" customFormat="1" ht="13.5" customHeight="1"/>
    <row r="465" s="7" customFormat="1" ht="13.5" customHeight="1"/>
    <row r="466" s="7" customFormat="1" ht="13.5" customHeight="1"/>
    <row r="467" s="7" customFormat="1" ht="13.5" customHeight="1"/>
    <row r="468" s="7" customFormat="1" ht="13.5" customHeight="1"/>
    <row r="469" s="7" customFormat="1" ht="13.5" customHeight="1"/>
    <row r="470" s="7" customFormat="1" ht="13.5" customHeight="1"/>
    <row r="471" s="7" customFormat="1" ht="13.5" customHeight="1"/>
    <row r="472" s="7" customFormat="1" ht="13.5" customHeight="1"/>
    <row r="473" s="7" customFormat="1" ht="13.5" customHeight="1"/>
    <row r="474" s="7" customFormat="1" ht="13.5" customHeight="1"/>
    <row r="475" s="7" customFormat="1" ht="13.5" customHeight="1"/>
    <row r="476" s="7" customFormat="1" ht="13.5" customHeight="1"/>
    <row r="477" s="7" customFormat="1" ht="13.5" customHeight="1"/>
    <row r="478" s="7" customFormat="1" ht="13.5" customHeight="1"/>
    <row r="479" s="7" customFormat="1" ht="13.5" customHeight="1"/>
    <row r="480" s="7" customFormat="1" ht="13.5" customHeight="1"/>
    <row r="481" s="7" customFormat="1" ht="13.5" customHeight="1"/>
    <row r="482" s="7" customFormat="1" ht="13.5" customHeight="1"/>
    <row r="483" s="7" customFormat="1" ht="13.5" customHeight="1"/>
    <row r="484" s="7" customFormat="1" ht="13.5" customHeight="1"/>
    <row r="485" s="7" customFormat="1" ht="13.5" customHeight="1"/>
    <row r="486" s="7" customFormat="1" ht="13.5" customHeight="1"/>
    <row r="487" s="7" customFormat="1" ht="13.5" customHeight="1"/>
    <row r="488" s="7" customFormat="1" ht="13.5" customHeight="1"/>
    <row r="489" s="7" customFormat="1" ht="13.5" customHeight="1"/>
    <row r="490" s="7" customFormat="1" ht="13.5" customHeight="1"/>
    <row r="491" s="7" customFormat="1" ht="13.5" customHeight="1"/>
    <row r="492" s="7" customFormat="1" ht="13.5" customHeight="1"/>
    <row r="493" s="7" customFormat="1" ht="13.5" customHeight="1"/>
    <row r="494" s="7" customFormat="1" ht="13.5" customHeight="1"/>
    <row r="495" s="7" customFormat="1" ht="13.5" customHeight="1"/>
    <row r="496" s="7" customFormat="1" ht="13.5" customHeight="1"/>
    <row r="497" s="7" customFormat="1" ht="13.5" customHeight="1"/>
    <row r="498" s="7" customFormat="1" ht="13.5" customHeight="1"/>
    <row r="499" s="7" customFormat="1" ht="13.5" customHeight="1"/>
    <row r="500" s="7" customFormat="1" ht="13.5" customHeight="1"/>
    <row r="501" s="7" customFormat="1" ht="13.5" customHeight="1"/>
    <row r="502" s="7" customFormat="1" ht="13.5" customHeight="1"/>
    <row r="503" s="7" customFormat="1" ht="13.5" customHeight="1"/>
    <row r="504" s="7" customFormat="1" ht="13.5" customHeight="1"/>
    <row r="505" s="7" customFormat="1" ht="13.5" customHeight="1"/>
    <row r="506" s="7" customFormat="1" ht="13.5" customHeight="1"/>
    <row r="507" s="7" customFormat="1" ht="13.5" customHeight="1"/>
    <row r="508" s="7" customFormat="1" ht="13.5" customHeight="1"/>
    <row r="509" s="7" customFormat="1" ht="13.5" customHeight="1"/>
    <row r="510" s="7" customFormat="1" ht="13.5" customHeight="1"/>
    <row r="511" s="7" customFormat="1" ht="13.5" customHeight="1"/>
    <row r="512" s="7" customFormat="1" ht="13.5" customHeight="1"/>
    <row r="513" s="7" customFormat="1" ht="13.5" customHeight="1"/>
    <row r="514" s="7" customFormat="1" ht="13.5" customHeight="1"/>
    <row r="515" s="7" customFormat="1" ht="13.5" customHeight="1"/>
    <row r="516" s="7" customFormat="1" ht="13.5" customHeight="1"/>
    <row r="517" s="7" customFormat="1" ht="13.5" customHeight="1"/>
    <row r="518" s="7" customFormat="1" ht="13.5" customHeight="1"/>
    <row r="519" s="7" customFormat="1" ht="13.5" customHeight="1"/>
    <row r="520" s="7" customFormat="1" ht="13.5" customHeight="1"/>
    <row r="521" s="7" customFormat="1" ht="13.5" customHeight="1"/>
    <row r="522" s="7" customFormat="1" ht="13.5" customHeight="1"/>
    <row r="523" s="7" customFormat="1" ht="13.5" customHeight="1"/>
    <row r="524" s="7" customFormat="1" ht="13.5" customHeight="1"/>
    <row r="525" s="7" customFormat="1" ht="13.5" customHeight="1"/>
    <row r="526" s="7" customFormat="1" ht="13.5" customHeight="1"/>
    <row r="527" s="7" customFormat="1" ht="13.5" customHeight="1"/>
    <row r="528" s="7" customFormat="1" ht="13.5" customHeight="1"/>
    <row r="529" s="7" customFormat="1" ht="13.5" customHeight="1"/>
    <row r="530" s="7" customFormat="1" ht="13.5" customHeight="1"/>
    <row r="531" s="7" customFormat="1" ht="13.5" customHeight="1"/>
    <row r="532" s="7" customFormat="1" ht="13.5" customHeight="1"/>
    <row r="533" s="7" customFormat="1" ht="13.5" customHeight="1"/>
    <row r="534" s="7" customFormat="1" ht="13.5" customHeight="1"/>
    <row r="535" s="7" customFormat="1" ht="13.5" customHeight="1"/>
    <row r="536" s="7" customFormat="1" ht="13.5" customHeight="1"/>
    <row r="537" s="7" customFormat="1" ht="13.5" customHeight="1"/>
    <row r="538" s="7" customFormat="1" ht="13.5" customHeight="1"/>
    <row r="539" s="7" customFormat="1" ht="13.5" customHeight="1"/>
    <row r="540" s="7" customFormat="1" ht="13.5" customHeight="1"/>
    <row r="541" s="7" customFormat="1" ht="13.5" customHeight="1"/>
    <row r="542" s="7" customFormat="1" ht="13.5" customHeight="1"/>
    <row r="543" s="7" customFormat="1" ht="13.5" customHeight="1"/>
    <row r="544" s="7" customFormat="1" ht="13.5" customHeight="1"/>
    <row r="545" s="7" customFormat="1" ht="13.5" customHeight="1"/>
    <row r="546" s="7" customFormat="1" ht="13.5" customHeight="1"/>
    <row r="547" s="7" customFormat="1" ht="13.5" customHeight="1"/>
    <row r="548" s="7" customFormat="1" ht="13.5" customHeight="1"/>
    <row r="549" s="7" customFormat="1" ht="13.5" customHeight="1"/>
    <row r="550" s="7" customFormat="1" ht="13.5" customHeight="1"/>
    <row r="551" s="7" customFormat="1" ht="13.5" customHeight="1"/>
    <row r="552" s="7" customFormat="1" ht="13.5" customHeight="1"/>
    <row r="553" s="7" customFormat="1" ht="13.5" customHeight="1"/>
    <row r="554" s="7" customFormat="1" ht="13.5" customHeight="1"/>
    <row r="555" s="7" customFormat="1" ht="13.5" customHeight="1"/>
    <row r="556" s="7" customFormat="1" ht="13.5" customHeight="1"/>
    <row r="557" s="7" customFormat="1" ht="13.5" customHeight="1"/>
    <row r="558" s="7" customFormat="1" ht="13.5" customHeight="1"/>
    <row r="559" s="7" customFormat="1" ht="13.5" customHeight="1"/>
    <row r="560" s="7" customFormat="1" ht="13.5" customHeight="1"/>
    <row r="561" s="7" customFormat="1" ht="13.5" customHeight="1"/>
    <row r="562" s="7" customFormat="1" ht="13.5" customHeight="1"/>
    <row r="563" s="7" customFormat="1" ht="13.5" customHeight="1"/>
    <row r="564" s="7" customFormat="1" ht="13.5" customHeight="1"/>
    <row r="565" s="7" customFormat="1" ht="13.5" customHeight="1"/>
    <row r="566" s="7" customFormat="1" ht="13.5" customHeight="1"/>
    <row r="567" s="7" customFormat="1" ht="13.5" customHeight="1"/>
    <row r="568" s="7" customFormat="1" ht="13.5" customHeight="1"/>
    <row r="569" s="7" customFormat="1" ht="13.5" customHeight="1"/>
    <row r="570" s="7" customFormat="1" ht="13.5" customHeight="1"/>
    <row r="571" s="7" customFormat="1" ht="13.5" customHeight="1"/>
    <row r="572" s="7" customFormat="1" ht="13.5" customHeight="1"/>
    <row r="573" s="7" customFormat="1" ht="13.5" customHeight="1"/>
    <row r="574" s="7" customFormat="1" ht="13.5" customHeight="1"/>
    <row r="575" s="7" customFormat="1" ht="13.5" customHeight="1"/>
    <row r="576" s="7" customFormat="1" ht="13.5" customHeight="1"/>
    <row r="577" s="7" customFormat="1" ht="13.5" customHeight="1"/>
    <row r="578" s="7" customFormat="1" ht="13.5" customHeight="1"/>
    <row r="579" s="7" customFormat="1" ht="13.5" customHeight="1"/>
    <row r="580" s="7" customFormat="1" ht="13.5" customHeight="1"/>
    <row r="581" s="7" customFormat="1" ht="13.5" customHeight="1"/>
    <row r="582" s="7" customFormat="1" ht="13.5" customHeight="1"/>
    <row r="583" s="7" customFormat="1" ht="13.5" customHeight="1"/>
    <row r="584" s="7" customFormat="1" ht="13.5" customHeight="1"/>
    <row r="585" s="7" customFormat="1" ht="13.5" customHeight="1"/>
    <row r="586" s="7" customFormat="1" ht="13.5" customHeight="1"/>
    <row r="587" s="7" customFormat="1" ht="13.5" customHeight="1"/>
    <row r="588" s="7" customFormat="1" ht="13.5" customHeight="1"/>
    <row r="589" s="7" customFormat="1" ht="13.5" customHeight="1"/>
    <row r="590" s="7" customFormat="1" ht="13.5" customHeight="1"/>
    <row r="591" s="7" customFormat="1" ht="13.5" customHeight="1"/>
    <row r="592" s="7" customFormat="1" ht="13.5" customHeight="1"/>
    <row r="593" s="7" customFormat="1" ht="13.5" customHeight="1"/>
    <row r="594" s="7" customFormat="1" ht="13.5" customHeight="1"/>
    <row r="595" s="7" customFormat="1" ht="13.5" customHeight="1"/>
    <row r="596" s="7" customFormat="1" ht="13.5" customHeight="1"/>
    <row r="597" s="7" customFormat="1" ht="13.5" customHeight="1"/>
    <row r="598" s="7" customFormat="1" ht="13.5" customHeight="1"/>
    <row r="599" s="7" customFormat="1" ht="13.5" customHeight="1"/>
    <row r="600" s="7" customFormat="1" ht="13.5" customHeight="1"/>
    <row r="601" s="7" customFormat="1" ht="13.5" customHeight="1"/>
    <row r="602" s="7" customFormat="1" ht="13.5" customHeight="1"/>
    <row r="603" s="7" customFormat="1" ht="13.5" customHeight="1"/>
    <row r="604" s="7" customFormat="1" ht="13.5" customHeight="1"/>
    <row r="605" s="7" customFormat="1" ht="13.5" customHeight="1"/>
    <row r="606" s="7" customFormat="1" ht="13.5" customHeight="1"/>
    <row r="607" s="7" customFormat="1" ht="13.5" customHeight="1"/>
    <row r="608" s="7" customFormat="1" ht="13.5" customHeight="1"/>
    <row r="609" s="7" customFormat="1" ht="13.5" customHeight="1"/>
    <row r="610" s="7" customFormat="1" ht="13.5" customHeight="1"/>
    <row r="611" s="7" customFormat="1" ht="13.5" customHeight="1"/>
    <row r="612" s="7" customFormat="1" ht="13.5" customHeight="1"/>
    <row r="613" s="7" customFormat="1" ht="13.5" customHeight="1"/>
    <row r="614" s="7" customFormat="1" ht="13.5" customHeight="1"/>
    <row r="615" s="7" customFormat="1" ht="13.5" customHeight="1"/>
    <row r="616" s="7" customFormat="1" ht="13.5" customHeight="1"/>
    <row r="617" s="7" customFormat="1" ht="13.5" customHeight="1"/>
    <row r="618" s="7" customFormat="1" ht="13.5" customHeight="1"/>
    <row r="619" s="7" customFormat="1" ht="13.5" customHeight="1"/>
    <row r="620" s="7" customFormat="1" ht="13.5" customHeight="1"/>
    <row r="621" s="7" customFormat="1" ht="13.5" customHeight="1"/>
    <row r="622" s="7" customFormat="1" ht="13.5" customHeight="1"/>
    <row r="623" s="7" customFormat="1" ht="13.5" customHeight="1"/>
    <row r="624" s="7" customFormat="1" ht="13.5" customHeight="1"/>
    <row r="625" s="7" customFormat="1" ht="13.5" customHeight="1"/>
    <row r="626" s="7" customFormat="1" ht="13.5" customHeight="1"/>
    <row r="627" s="7" customFormat="1" ht="13.5" customHeight="1"/>
    <row r="628" s="7" customFormat="1" ht="13.5" customHeight="1"/>
    <row r="629" s="7" customFormat="1" ht="13.5" customHeight="1"/>
    <row r="630" s="7" customFormat="1" ht="13.5" customHeight="1"/>
    <row r="631" s="7" customFormat="1" ht="13.5" customHeight="1"/>
    <row r="632" s="7" customFormat="1" ht="13.5" customHeight="1"/>
    <row r="633" s="7" customFormat="1" ht="13.5" customHeight="1"/>
    <row r="634" s="7" customFormat="1" ht="13.5" customHeight="1"/>
    <row r="635" s="7" customFormat="1" ht="13.5" customHeight="1"/>
    <row r="636" s="7" customFormat="1" ht="13.5" customHeight="1"/>
    <row r="637" s="7" customFormat="1" ht="13.5" customHeight="1"/>
    <row r="638" s="7" customFormat="1" ht="13.5" customHeight="1"/>
    <row r="639" s="7" customFormat="1" ht="13.5" customHeight="1"/>
    <row r="640" s="7" customFormat="1" ht="13.5" customHeight="1"/>
    <row r="641" s="7" customFormat="1" ht="13.5" customHeight="1"/>
    <row r="642" s="7" customFormat="1" ht="13.5" customHeight="1"/>
    <row r="643" s="7" customFormat="1" ht="13.5" customHeight="1"/>
    <row r="644" s="7" customFormat="1" ht="13.5" customHeight="1"/>
    <row r="645" s="7" customFormat="1" ht="13.5" customHeight="1"/>
    <row r="646" s="7" customFormat="1" ht="13.5" customHeight="1"/>
    <row r="647" s="7" customFormat="1" ht="13.5" customHeight="1"/>
    <row r="648" s="7" customFormat="1" ht="13.5" customHeight="1"/>
    <row r="649" s="7" customFormat="1" ht="13.5" customHeight="1"/>
    <row r="650" s="7" customFormat="1" ht="13.5" customHeight="1"/>
    <row r="651" s="7" customFormat="1" ht="13.5" customHeight="1"/>
    <row r="652" s="7" customFormat="1" ht="13.5" customHeight="1"/>
    <row r="653" s="7" customFormat="1" ht="13.5" customHeight="1"/>
    <row r="654" s="7" customFormat="1" ht="13.5" customHeight="1"/>
    <row r="655" s="7" customFormat="1" ht="13.5" customHeight="1"/>
    <row r="656" s="7" customFormat="1" ht="13.5" customHeight="1"/>
    <row r="657" s="7" customFormat="1" ht="13.5" customHeight="1"/>
    <row r="658" s="7" customFormat="1" ht="13.5" customHeight="1"/>
    <row r="659" s="7" customFormat="1" ht="13.5" customHeight="1"/>
    <row r="660" s="7" customFormat="1" ht="13.5" customHeight="1"/>
    <row r="661" s="7" customFormat="1" ht="13.5" customHeight="1"/>
    <row r="662" s="7" customFormat="1" ht="13.5" customHeight="1"/>
    <row r="663" s="7" customFormat="1" ht="13.5" customHeight="1"/>
    <row r="664" s="7" customFormat="1" ht="13.5" customHeight="1"/>
    <row r="665" s="7" customFormat="1" ht="13.5" customHeight="1"/>
    <row r="666" s="7" customFormat="1" ht="13.5" customHeight="1"/>
    <row r="667" s="7" customFormat="1" ht="13.5" customHeight="1"/>
    <row r="668" s="7" customFormat="1" ht="13.5" customHeight="1"/>
    <row r="669" s="7" customFormat="1" ht="13.5" customHeight="1"/>
    <row r="670" s="7" customFormat="1" ht="13.5" customHeight="1"/>
    <row r="671" s="7" customFormat="1" ht="13.5" customHeight="1"/>
    <row r="672" s="7" customFormat="1" ht="13.5" customHeight="1"/>
    <row r="673" s="7" customFormat="1" ht="13.5" customHeight="1"/>
    <row r="674" s="7" customFormat="1" ht="13.5" customHeight="1"/>
    <row r="675" s="7" customFormat="1" ht="13.5" customHeight="1"/>
    <row r="676" s="7" customFormat="1" ht="13.5" customHeight="1"/>
    <row r="677" s="7" customFormat="1" ht="13.5" customHeight="1"/>
    <row r="678" s="7" customFormat="1" ht="13.5" customHeight="1"/>
    <row r="679" s="7" customFormat="1" ht="13.5" customHeight="1"/>
    <row r="680" s="7" customFormat="1" ht="13.5" customHeight="1"/>
    <row r="681" s="7" customFormat="1" ht="13.5" customHeight="1"/>
    <row r="682" s="7" customFormat="1" ht="13.5" customHeight="1"/>
    <row r="683" s="7" customFormat="1" ht="13.5" customHeight="1"/>
    <row r="684" s="7" customFormat="1" ht="13.5" customHeight="1"/>
    <row r="685" s="7" customFormat="1" ht="13.5" customHeight="1"/>
    <row r="686" s="7" customFormat="1" ht="13.5" customHeight="1"/>
    <row r="687" s="7" customFormat="1" ht="13.5" customHeight="1"/>
    <row r="688" s="7" customFormat="1" ht="13.5" customHeight="1"/>
    <row r="689" s="7" customFormat="1" ht="13.5" customHeight="1"/>
    <row r="690" s="7" customFormat="1" ht="13.5" customHeight="1"/>
    <row r="691" s="7" customFormat="1" ht="13.5" customHeight="1"/>
    <row r="692" s="7" customFormat="1" ht="13.5" customHeight="1"/>
    <row r="693" s="7" customFormat="1" ht="13.5" customHeight="1"/>
    <row r="694" s="7" customFormat="1" ht="13.5" customHeight="1"/>
    <row r="695" s="7" customFormat="1" ht="13.5" customHeight="1"/>
    <row r="696" s="7" customFormat="1" ht="13.5" customHeight="1"/>
    <row r="697" s="7" customFormat="1" ht="13.5" customHeight="1"/>
    <row r="698" s="7" customFormat="1" ht="13.5" customHeight="1"/>
    <row r="699" s="7" customFormat="1" ht="13.5" customHeight="1"/>
    <row r="700" s="7" customFormat="1" ht="13.5" customHeight="1"/>
    <row r="701" s="7" customFormat="1" ht="13.5" customHeight="1"/>
    <row r="702" s="7" customFormat="1" ht="13.5" customHeight="1"/>
    <row r="703" s="7" customFormat="1" ht="13.5" customHeight="1"/>
    <row r="704" s="7" customFormat="1" ht="13.5" customHeight="1"/>
    <row r="705" s="7" customFormat="1" ht="13.5" customHeight="1"/>
    <row r="706" s="7" customFormat="1" ht="13.5" customHeight="1"/>
    <row r="707" s="7" customFormat="1" ht="13.5" customHeight="1"/>
    <row r="708" s="7" customFormat="1" ht="13.5" customHeight="1"/>
    <row r="709" s="7" customFormat="1" ht="13.5" customHeight="1"/>
    <row r="710" s="7" customFormat="1" ht="13.5" customHeight="1"/>
    <row r="711" s="7" customFormat="1" ht="13.5" customHeight="1"/>
    <row r="712" s="7" customFormat="1" ht="13.5" customHeight="1"/>
    <row r="713" s="7" customFormat="1" ht="13.5" customHeight="1"/>
    <row r="714" s="7" customFormat="1" ht="13.5" customHeight="1"/>
    <row r="715" s="7" customFormat="1" ht="13.5" customHeight="1"/>
    <row r="716" s="7" customFormat="1" ht="13.5" customHeight="1"/>
    <row r="717" s="7" customFormat="1" ht="13.5" customHeight="1"/>
    <row r="718" s="7" customFormat="1" ht="13.5" customHeight="1"/>
    <row r="719" s="7" customFormat="1" ht="13.5" customHeight="1"/>
    <row r="720" s="7" customFormat="1" ht="13.5" customHeight="1"/>
    <row r="721" s="7" customFormat="1" ht="13.5" customHeight="1"/>
    <row r="722" s="7" customFormat="1" ht="13.5" customHeight="1"/>
    <row r="723" s="7" customFormat="1" ht="13.5" customHeight="1"/>
    <row r="724" s="7" customFormat="1" ht="13.5" customHeight="1"/>
    <row r="725" s="7" customFormat="1" ht="13.5" customHeight="1"/>
    <row r="726" s="7" customFormat="1" ht="13.5" customHeight="1"/>
    <row r="727" s="7" customFormat="1" ht="13.5" customHeight="1"/>
    <row r="728" s="7" customFormat="1" ht="13.5" customHeight="1"/>
    <row r="729" s="7" customFormat="1" ht="13.5" customHeight="1"/>
    <row r="730" s="7" customFormat="1" ht="13.5" customHeight="1"/>
    <row r="731" s="7" customFormat="1" ht="13.5" customHeight="1"/>
    <row r="732" s="7" customFormat="1" ht="13.5" customHeight="1"/>
    <row r="733" s="7" customFormat="1" ht="13.5" customHeight="1"/>
    <row r="734" s="7" customFormat="1" ht="13.5" customHeight="1"/>
    <row r="735" s="7" customFormat="1" ht="13.5" customHeight="1"/>
    <row r="736" s="7" customFormat="1" ht="13.5" customHeight="1"/>
    <row r="737" s="7" customFormat="1" ht="13.5" customHeight="1"/>
    <row r="738" s="7" customFormat="1" ht="13.5" customHeight="1"/>
    <row r="739" s="7" customFormat="1" ht="13.5" customHeight="1"/>
    <row r="740" s="7" customFormat="1" ht="13.5" customHeight="1"/>
    <row r="741" s="7" customFormat="1" ht="13.5" customHeight="1"/>
    <row r="742" s="7" customFormat="1" ht="13.5" customHeight="1"/>
    <row r="743" s="7" customFormat="1" ht="13.5" customHeight="1"/>
    <row r="744" s="7" customFormat="1" ht="13.5" customHeight="1"/>
    <row r="745" s="7" customFormat="1" ht="13.5" customHeight="1"/>
    <row r="746" s="7" customFormat="1" ht="13.5" customHeight="1"/>
    <row r="747" s="7" customFormat="1" ht="13.5" customHeight="1"/>
    <row r="748" s="7" customFormat="1" ht="13.5" customHeight="1"/>
    <row r="749" s="7" customFormat="1" ht="13.5" customHeight="1"/>
    <row r="750" s="7" customFormat="1" ht="13.5" customHeight="1"/>
    <row r="751" s="7" customFormat="1" ht="13.5" customHeight="1"/>
    <row r="752" s="7" customFormat="1" ht="13.5" customHeight="1"/>
    <row r="753" s="7" customFormat="1" ht="13.5" customHeight="1"/>
    <row r="754" s="7" customFormat="1" ht="13.5" customHeight="1"/>
    <row r="755" s="7" customFormat="1" ht="13.5" customHeight="1"/>
    <row r="756" s="7" customFormat="1" ht="13.5" customHeight="1"/>
    <row r="757" s="7" customFormat="1" ht="13.5" customHeight="1"/>
    <row r="758" s="7" customFormat="1" ht="13.5" customHeight="1"/>
    <row r="759" s="7" customFormat="1" ht="13.5" customHeight="1"/>
    <row r="760" s="7" customFormat="1" ht="13.5" customHeight="1"/>
    <row r="761" s="7" customFormat="1" ht="13.5" customHeight="1"/>
    <row r="762" s="7" customFormat="1" ht="13.5" customHeight="1"/>
    <row r="763" s="7" customFormat="1" ht="13.5" customHeight="1"/>
    <row r="764" s="7" customFormat="1" ht="13.5" customHeight="1"/>
    <row r="765" s="7" customFormat="1" ht="13.5" customHeight="1"/>
    <row r="766" s="7" customFormat="1" ht="13.5" customHeight="1"/>
    <row r="767" s="7" customFormat="1" ht="13.5" customHeight="1"/>
    <row r="768" s="7" customFormat="1" ht="13.5" customHeight="1"/>
    <row r="769" s="7" customFormat="1" ht="13.5" customHeight="1"/>
    <row r="770" s="7" customFormat="1" ht="13.5" customHeight="1"/>
    <row r="771" s="7" customFormat="1" ht="13.5" customHeight="1"/>
    <row r="772" s="7" customFormat="1" ht="13.5" customHeight="1"/>
    <row r="773" s="7" customFormat="1" ht="13.5" customHeight="1"/>
    <row r="774" s="7" customFormat="1" ht="13.5" customHeight="1"/>
    <row r="775" s="7" customFormat="1" ht="13.5" customHeight="1"/>
    <row r="776" s="7" customFormat="1" ht="13.5" customHeight="1"/>
    <row r="777" s="7" customFormat="1" ht="13.5" customHeight="1"/>
    <row r="778" s="7" customFormat="1" ht="13.5" customHeight="1"/>
    <row r="779" s="7" customFormat="1" ht="13.5" customHeight="1"/>
    <row r="780" s="7" customFormat="1" ht="13.5" customHeight="1"/>
    <row r="781" s="7" customFormat="1" ht="13.5" customHeight="1"/>
    <row r="782" s="7" customFormat="1" ht="13.5" customHeight="1"/>
    <row r="783" s="7" customFormat="1" ht="13.5" customHeight="1"/>
    <row r="784" s="7" customFormat="1" ht="13.5" customHeight="1"/>
    <row r="785" s="7" customFormat="1" ht="13.5" customHeight="1"/>
    <row r="786" s="7" customFormat="1" ht="13.5" customHeight="1"/>
    <row r="787" s="7" customFormat="1" ht="13.5" customHeight="1"/>
    <row r="788" s="7" customFormat="1" ht="13.5" customHeight="1"/>
    <row r="789" s="7" customFormat="1" ht="13.5" customHeight="1"/>
    <row r="790" s="7" customFormat="1" ht="13.5" customHeight="1"/>
    <row r="791" s="7" customFormat="1" ht="13.5" customHeight="1"/>
    <row r="792" s="7" customFormat="1" ht="13.5" customHeight="1"/>
    <row r="793" s="7" customFormat="1" ht="13.5" customHeight="1"/>
    <row r="794" s="7" customFormat="1" ht="13.5" customHeight="1"/>
    <row r="795" s="7" customFormat="1" ht="13.5" customHeight="1"/>
    <row r="796" s="7" customFormat="1" ht="13.5" customHeight="1"/>
    <row r="797" s="7" customFormat="1" ht="13.5" customHeight="1"/>
    <row r="798" s="7" customFormat="1" ht="13.5" customHeight="1"/>
    <row r="799" s="7" customFormat="1" ht="13.5" customHeight="1"/>
    <row r="800" s="7" customFormat="1" ht="13.5" customHeight="1"/>
    <row r="801" s="7" customFormat="1" ht="13.5" customHeight="1"/>
    <row r="802" s="7" customFormat="1" ht="13.5" customHeight="1"/>
    <row r="803" s="7" customFormat="1" ht="13.5" customHeight="1"/>
    <row r="804" s="7" customFormat="1" ht="13.5" customHeight="1"/>
    <row r="805" s="7" customFormat="1" ht="13.5" customHeight="1"/>
    <row r="806" s="7" customFormat="1" ht="13.5" customHeight="1"/>
    <row r="807" s="7" customFormat="1" ht="13.5" customHeight="1"/>
    <row r="808" s="7" customFormat="1" ht="13.5" customHeight="1"/>
    <row r="809" s="7" customFormat="1" ht="13.5" customHeight="1"/>
    <row r="810" s="7" customFormat="1" ht="13.5" customHeight="1"/>
    <row r="811" s="7" customFormat="1" ht="13.5" customHeight="1"/>
    <row r="812" s="7" customFormat="1" ht="13.5" customHeight="1"/>
    <row r="813" s="7" customFormat="1" ht="13.5" customHeight="1"/>
    <row r="814" s="7" customFormat="1" ht="13.5" customHeight="1"/>
    <row r="815" s="7" customFormat="1" ht="13.5" customHeight="1"/>
    <row r="816" s="7" customFormat="1" ht="13.5" customHeight="1"/>
    <row r="817" s="7" customFormat="1" ht="13.5" customHeight="1"/>
    <row r="818" s="7" customFormat="1" ht="13.5" customHeight="1"/>
    <row r="819" s="7" customFormat="1" ht="13.5" customHeight="1"/>
    <row r="820" s="7" customFormat="1" ht="13.5" customHeight="1"/>
    <row r="821" s="7" customFormat="1" ht="13.5" customHeight="1"/>
    <row r="822" s="7" customFormat="1" ht="13.5" customHeight="1"/>
    <row r="823" s="7" customFormat="1" ht="13.5" customHeight="1"/>
    <row r="824" s="7" customFormat="1" ht="13.5" customHeight="1"/>
    <row r="825" s="7" customFormat="1" ht="13.5" customHeight="1"/>
    <row r="826" s="7" customFormat="1" ht="13.5" customHeight="1"/>
    <row r="827" s="7" customFormat="1" ht="13.5" customHeight="1"/>
    <row r="828" s="7" customFormat="1" ht="13.5" customHeight="1"/>
    <row r="829" s="7" customFormat="1" ht="13.5" customHeight="1"/>
    <row r="830" s="7" customFormat="1" ht="13.5" customHeight="1"/>
    <row r="831" s="7" customFormat="1" ht="13.5" customHeight="1"/>
    <row r="832" s="7" customFormat="1" ht="13.5" customHeight="1"/>
    <row r="833" s="7" customFormat="1" ht="13.5" customHeight="1"/>
    <row r="834" s="7" customFormat="1" ht="13.5" customHeight="1"/>
    <row r="835" s="7" customFormat="1" ht="13.5" customHeight="1"/>
    <row r="836" s="7" customFormat="1" ht="13.5" customHeight="1"/>
    <row r="837" s="7" customFormat="1" ht="13.5" customHeight="1"/>
    <row r="838" s="7" customFormat="1" ht="13.5" customHeight="1"/>
    <row r="839" s="7" customFormat="1" ht="13.5" customHeight="1"/>
    <row r="840" s="7" customFormat="1" ht="13.5" customHeight="1"/>
    <row r="841" s="7" customFormat="1" ht="13.5" customHeight="1"/>
    <row r="842" s="7" customFormat="1" ht="13.5" customHeight="1"/>
    <row r="843" s="7" customFormat="1" ht="13.5" customHeight="1"/>
    <row r="844" s="7" customFormat="1" ht="13.5" customHeight="1"/>
    <row r="845" s="7" customFormat="1" ht="13.5" customHeight="1"/>
    <row r="846" s="7" customFormat="1" ht="13.5" customHeight="1"/>
    <row r="847" s="7" customFormat="1" ht="13.5" customHeight="1"/>
    <row r="848" s="7" customFormat="1" ht="13.5" customHeight="1"/>
    <row r="849" s="7" customFormat="1" ht="13.5" customHeight="1"/>
    <row r="850" s="7" customFormat="1" ht="13.5" customHeight="1"/>
    <row r="851" s="7" customFormat="1" ht="13.5" customHeight="1"/>
    <row r="852" s="7" customFormat="1" ht="13.5" customHeight="1"/>
    <row r="853" s="7" customFormat="1" ht="13.5" customHeight="1"/>
    <row r="854" s="7" customFormat="1" ht="13.5" customHeight="1"/>
    <row r="855" s="7" customFormat="1" ht="13.5" customHeight="1"/>
    <row r="856" s="7" customFormat="1" ht="13.5" customHeight="1"/>
    <row r="857" s="7" customFormat="1" ht="13.5" customHeight="1"/>
    <row r="858" s="7" customFormat="1" ht="13.5" customHeight="1"/>
    <row r="859" s="7" customFormat="1" ht="13.5" customHeight="1"/>
    <row r="860" s="7" customFormat="1" ht="13.5" customHeight="1"/>
    <row r="861" s="7" customFormat="1" ht="13.5" customHeight="1"/>
    <row r="862" s="7" customFormat="1" ht="13.5" customHeight="1"/>
    <row r="863" s="7" customFormat="1" ht="13.5" customHeight="1"/>
    <row r="864" s="7" customFormat="1" ht="13.5" customHeight="1"/>
    <row r="865" s="7" customFormat="1" ht="13.5" customHeight="1"/>
    <row r="866" s="7" customFormat="1" ht="13.5" customHeight="1"/>
    <row r="867" s="7" customFormat="1" ht="13.5" customHeight="1"/>
    <row r="868" s="7" customFormat="1" ht="13.5" customHeight="1"/>
    <row r="869" s="7" customFormat="1" ht="13.5" customHeight="1"/>
    <row r="870" s="7" customFormat="1" ht="13.5" customHeight="1"/>
    <row r="871" s="7" customFormat="1" ht="13.5" customHeight="1"/>
    <row r="872" s="7" customFormat="1" ht="13.5" customHeight="1"/>
    <row r="873" s="7" customFormat="1" ht="13.5" customHeight="1"/>
    <row r="874" s="7" customFormat="1" ht="13.5" customHeight="1"/>
    <row r="875" s="7" customFormat="1" ht="13.5" customHeight="1"/>
    <row r="876" s="7" customFormat="1" ht="13.5" customHeight="1"/>
    <row r="877" s="7" customFormat="1" ht="13.5" customHeight="1"/>
    <row r="878" s="7" customFormat="1" ht="13.5" customHeight="1"/>
    <row r="879" s="7" customFormat="1" ht="13.5" customHeight="1"/>
    <row r="880" s="7" customFormat="1" ht="13.5" customHeight="1"/>
    <row r="881" s="7" customFormat="1" ht="13.5" customHeight="1"/>
    <row r="882" s="7" customFormat="1" ht="13.5" customHeight="1"/>
    <row r="883" s="7" customFormat="1" ht="13.5" customHeight="1"/>
    <row r="884" s="7" customFormat="1" ht="13.5" customHeight="1"/>
    <row r="885" s="7" customFormat="1" ht="13.5" customHeight="1"/>
    <row r="886" s="7" customFormat="1" ht="13.5" customHeight="1"/>
    <row r="887" s="7" customFormat="1" ht="13.5" customHeight="1"/>
    <row r="888" s="7" customFormat="1" ht="13.5" customHeight="1"/>
    <row r="889" s="7" customFormat="1" ht="13.5" customHeight="1"/>
    <row r="890" s="7" customFormat="1" ht="13.5" customHeight="1"/>
    <row r="891" s="7" customFormat="1" ht="13.5" customHeight="1"/>
    <row r="892" s="7" customFormat="1" ht="13.5" customHeight="1"/>
    <row r="893" s="7" customFormat="1" ht="13.5" customHeight="1"/>
    <row r="894" s="7" customFormat="1" ht="13.5" customHeight="1"/>
    <row r="895" s="7" customFormat="1" ht="13.5" customHeight="1"/>
    <row r="896" s="7" customFormat="1" ht="13.5" customHeight="1"/>
    <row r="897" s="7" customFormat="1" ht="13.5" customHeight="1"/>
    <row r="898" s="7" customFormat="1" ht="13.5" customHeight="1"/>
    <row r="899" s="7" customFormat="1" ht="13.5" customHeight="1"/>
    <row r="900" s="7" customFormat="1" ht="13.5" customHeight="1"/>
    <row r="901" s="7" customFormat="1" ht="13.5" customHeight="1"/>
    <row r="902" s="7" customFormat="1" ht="13.5" customHeight="1"/>
    <row r="903" s="7" customFormat="1" ht="13.5" customHeight="1"/>
    <row r="904" s="7" customFormat="1" ht="13.5" customHeight="1"/>
    <row r="905" s="7" customFormat="1" ht="13.5" customHeight="1"/>
    <row r="906" s="7" customFormat="1" ht="13.5" customHeight="1"/>
    <row r="907" s="7" customFormat="1" ht="13.5" customHeight="1"/>
    <row r="908" s="7" customFormat="1" ht="13.5" customHeight="1"/>
    <row r="909" s="7" customFormat="1" ht="13.5" customHeight="1"/>
    <row r="910" s="7" customFormat="1" ht="13.5" customHeight="1"/>
    <row r="911" s="7" customFormat="1" ht="13.5" customHeight="1"/>
    <row r="912" s="7" customFormat="1" ht="13.5" customHeight="1"/>
    <row r="913" s="7" customFormat="1" ht="13.5" customHeight="1"/>
    <row r="914" s="7" customFormat="1" ht="13.5" customHeight="1"/>
    <row r="915" s="7" customFormat="1" ht="13.5" customHeight="1"/>
    <row r="916" s="7" customFormat="1" ht="13.5" customHeight="1"/>
    <row r="917" s="7" customFormat="1" ht="13.5" customHeight="1"/>
    <row r="918" s="7" customFormat="1" ht="13.5" customHeight="1"/>
    <row r="919" s="7" customFormat="1" ht="13.5" customHeight="1"/>
    <row r="920" s="7" customFormat="1" ht="13.5" customHeight="1"/>
    <row r="921" s="7" customFormat="1" ht="13.5" customHeight="1"/>
    <row r="922" s="7" customFormat="1" ht="13.5" customHeight="1"/>
    <row r="923" s="7" customFormat="1" ht="13.5" customHeight="1"/>
    <row r="924" s="7" customFormat="1" ht="13.5" customHeight="1"/>
    <row r="925" s="7" customFormat="1" ht="13.5" customHeight="1"/>
    <row r="926" s="7" customFormat="1" ht="13.5" customHeight="1"/>
    <row r="927" s="7" customFormat="1" ht="13.5" customHeight="1"/>
    <row r="928" s="7" customFormat="1" ht="13.5" customHeight="1"/>
    <row r="929" s="7" customFormat="1" ht="13.5" customHeight="1"/>
    <row r="930" s="7" customFormat="1" ht="13.5" customHeight="1"/>
    <row r="931" s="7" customFormat="1" ht="13.5" customHeight="1"/>
    <row r="932" s="7" customFormat="1" ht="13.5" customHeight="1"/>
    <row r="933" s="7" customFormat="1" ht="13.5" customHeight="1"/>
    <row r="934" s="7" customFormat="1" ht="13.5" customHeight="1"/>
    <row r="935" s="7" customFormat="1" ht="13.5" customHeight="1"/>
    <row r="936" s="7" customFormat="1" ht="13.5" customHeight="1"/>
    <row r="937" s="7" customFormat="1" ht="13.5" customHeight="1"/>
    <row r="938" s="7" customFormat="1" ht="13.5" customHeight="1"/>
    <row r="939" s="7" customFormat="1" ht="13.5" customHeight="1"/>
    <row r="940" s="7" customFormat="1" ht="13.5" customHeight="1"/>
    <row r="941" s="7" customFormat="1" ht="13.5" customHeight="1"/>
    <row r="942" s="7" customFormat="1" ht="13.5" customHeight="1"/>
    <row r="943" s="7" customFormat="1" ht="13.5" customHeight="1"/>
    <row r="944" s="7" customFormat="1" ht="13.5" customHeight="1"/>
    <row r="945" s="7" customFormat="1" ht="13.5" customHeight="1"/>
    <row r="946" s="7" customFormat="1" ht="13.5" customHeight="1"/>
    <row r="947" s="7" customFormat="1" ht="13.5" customHeight="1"/>
    <row r="948" s="7" customFormat="1" ht="13.5" customHeight="1"/>
    <row r="949" s="7" customFormat="1" ht="13.5" customHeight="1"/>
    <row r="950" s="7" customFormat="1" ht="13.5" customHeight="1"/>
    <row r="951" s="7" customFormat="1" ht="13.5" customHeight="1"/>
    <row r="952" s="7" customFormat="1" ht="13.5" customHeight="1"/>
    <row r="953" s="7" customFormat="1" ht="13.5" customHeight="1"/>
    <row r="954" s="7" customFormat="1" ht="13.5" customHeight="1"/>
    <row r="955" s="7" customFormat="1" ht="13.5" customHeight="1"/>
    <row r="956" s="7" customFormat="1" ht="13.5" customHeight="1"/>
    <row r="957" s="7" customFormat="1" ht="13.5" customHeight="1"/>
    <row r="958" s="7" customFormat="1" ht="13.5" customHeight="1"/>
    <row r="959" s="7" customFormat="1" ht="13.5" customHeight="1"/>
    <row r="960" s="7" customFormat="1" ht="13.5" customHeight="1"/>
    <row r="961" s="7" customFormat="1" ht="13.5" customHeight="1"/>
    <row r="962" s="7" customFormat="1" ht="13.5" customHeight="1"/>
    <row r="963" s="7" customFormat="1" ht="13.5" customHeight="1"/>
    <row r="964" s="7" customFormat="1" ht="13.5" customHeight="1"/>
    <row r="965" s="7" customFormat="1" ht="13.5" customHeight="1"/>
    <row r="966" s="7" customFormat="1" ht="13.5" customHeight="1"/>
    <row r="967" s="7" customFormat="1" ht="13.5" customHeight="1"/>
    <row r="968" s="7" customFormat="1" ht="13.5" customHeight="1"/>
    <row r="969" s="7" customFormat="1" ht="13.5" customHeight="1"/>
    <row r="970" s="7" customFormat="1" ht="13.5" customHeight="1"/>
    <row r="971" s="7" customFormat="1" ht="13.5" customHeight="1"/>
    <row r="972" s="7" customFormat="1" ht="13.5" customHeight="1"/>
    <row r="973" s="7" customFormat="1" ht="13.5" customHeight="1"/>
    <row r="974" s="7" customFormat="1" ht="13.5" customHeight="1"/>
    <row r="975" s="7" customFormat="1" ht="13.5" customHeight="1"/>
    <row r="976" s="7" customFormat="1" ht="13.5" customHeight="1"/>
    <row r="977" s="7" customFormat="1" ht="13.5" customHeight="1"/>
    <row r="978" s="7" customFormat="1" ht="13.5" customHeight="1"/>
    <row r="979" s="7" customFormat="1" ht="13.5" customHeight="1"/>
    <row r="980" s="7" customFormat="1" ht="13.5" customHeight="1"/>
    <row r="981" s="7" customFormat="1" ht="13.5" customHeight="1"/>
    <row r="982" s="7" customFormat="1" ht="13.5" customHeight="1"/>
    <row r="983" s="7" customFormat="1" ht="13.5" customHeight="1"/>
    <row r="984" s="7" customFormat="1" ht="13.5" customHeight="1"/>
    <row r="985" s="7" customFormat="1" ht="13.5" customHeight="1"/>
    <row r="986" s="7" customFormat="1" ht="13.5" customHeight="1"/>
    <row r="987" s="7" customFormat="1" ht="13.5" customHeight="1"/>
    <row r="988" s="7" customFormat="1" ht="13.5" customHeight="1"/>
    <row r="989" s="7" customFormat="1" ht="13.5" customHeight="1"/>
    <row r="990" s="7" customFormat="1" ht="13.5" customHeight="1"/>
    <row r="991" s="7" customFormat="1" ht="13.5" customHeight="1"/>
    <row r="992" s="7" customFormat="1" ht="13.5" customHeight="1"/>
    <row r="993" s="7" customFormat="1" ht="13.5" customHeight="1"/>
    <row r="994" s="7" customFormat="1" ht="13.5" customHeight="1"/>
    <row r="995" s="7" customFormat="1" ht="13.5" customHeight="1"/>
    <row r="996" s="7" customFormat="1" ht="13.5" customHeight="1"/>
    <row r="997" s="7" customFormat="1" ht="13.5" customHeight="1"/>
    <row r="998" s="7" customFormat="1" ht="13.5" customHeight="1"/>
    <row r="999" s="7" customFormat="1" ht="13.5" customHeight="1"/>
    <row r="1000" s="7" customFormat="1" ht="13.5" customHeight="1"/>
    <row r="1001" s="7" customFormat="1" ht="13.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1"/>
  <sheetViews>
    <sheetView showGridLines="0" topLeftCell="A11" workbookViewId="0">
      <selection activeCell="A18" sqref="A18:XFD18"/>
    </sheetView>
  </sheetViews>
  <sheetFormatPr defaultColWidth="12.6640625" defaultRowHeight="15" customHeight="1"/>
  <cols>
    <col min="1" max="1" width="32.25" style="7" customWidth="1"/>
    <col min="2" max="2" width="11" style="7" customWidth="1"/>
    <col min="3" max="3" width="11.75" style="7" customWidth="1"/>
    <col min="4" max="7" width="10.1640625" style="7" customWidth="1"/>
    <col min="8" max="8" width="11.4140625" style="7" customWidth="1"/>
    <col min="9" max="10" width="9.75" style="7" customWidth="1"/>
    <col min="11" max="11" width="10.25" style="7" customWidth="1"/>
    <col min="12" max="12" width="9.9140625" style="7" customWidth="1"/>
    <col min="13" max="26" width="8.6640625" style="7" customWidth="1"/>
    <col min="27" max="16384" width="12.6640625" style="7"/>
  </cols>
  <sheetData>
    <row r="1" spans="1:26" s="373" customFormat="1" ht="13.5" customHeight="1">
      <c r="A1" s="463" t="s">
        <v>412</v>
      </c>
      <c r="B1" s="384"/>
      <c r="C1" s="384"/>
      <c r="D1" s="384"/>
      <c r="E1" s="384"/>
      <c r="F1" s="384"/>
      <c r="G1" s="384"/>
      <c r="H1" s="385"/>
    </row>
    <row r="2" spans="1:26" s="373" customFormat="1" ht="13.5" customHeight="1">
      <c r="A2" s="458"/>
      <c r="B2" s="457"/>
      <c r="C2" s="457"/>
      <c r="D2" s="457"/>
      <c r="E2" s="457"/>
      <c r="F2" s="457"/>
      <c r="G2" s="457"/>
      <c r="L2" s="464" t="s">
        <v>1</v>
      </c>
    </row>
    <row r="3" spans="1:26" ht="13.5" customHeight="1">
      <c r="A3" s="53"/>
      <c r="B3" s="54" t="s">
        <v>2</v>
      </c>
      <c r="C3" s="54" t="s">
        <v>3</v>
      </c>
      <c r="D3" s="54" t="s">
        <v>4</v>
      </c>
      <c r="E3" s="54" t="s">
        <v>5</v>
      </c>
      <c r="F3" s="54" t="s">
        <v>6</v>
      </c>
      <c r="G3" s="54" t="s">
        <v>7</v>
      </c>
      <c r="H3" s="54" t="s">
        <v>8</v>
      </c>
      <c r="I3" s="54" t="s">
        <v>413</v>
      </c>
      <c r="J3" s="55" t="s">
        <v>468</v>
      </c>
      <c r="K3" s="55" t="s">
        <v>469</v>
      </c>
      <c r="L3" s="54" t="s">
        <v>12</v>
      </c>
    </row>
    <row r="4" spans="1:26" ht="13.5" customHeight="1">
      <c r="A4" s="56" t="s">
        <v>414</v>
      </c>
      <c r="B4" s="57">
        <v>119555.49</v>
      </c>
      <c r="C4" s="57">
        <v>145768.03</v>
      </c>
      <c r="D4" s="57">
        <v>130647.39</v>
      </c>
      <c r="E4" s="57">
        <v>133667.56</v>
      </c>
      <c r="F4" s="57">
        <v>137001.84</v>
      </c>
      <c r="G4" s="57">
        <v>131725.21</v>
      </c>
      <c r="H4" s="57">
        <v>154479.29</v>
      </c>
      <c r="I4" s="57">
        <v>167722.60999999999</v>
      </c>
      <c r="J4" s="57">
        <v>193978.23</v>
      </c>
      <c r="K4" s="57">
        <v>180321.21848044975</v>
      </c>
      <c r="L4" s="57">
        <v>206716.47836800001</v>
      </c>
    </row>
    <row r="5" spans="1:26" ht="13.5" customHeight="1">
      <c r="A5" s="58" t="s">
        <v>415</v>
      </c>
      <c r="B5" s="59"/>
      <c r="C5" s="59"/>
      <c r="D5" s="59"/>
      <c r="E5" s="59"/>
      <c r="F5" s="59"/>
      <c r="G5" s="59"/>
      <c r="H5" s="60">
        <v>306</v>
      </c>
      <c r="I5" s="60">
        <v>421</v>
      </c>
      <c r="J5" s="60">
        <v>480</v>
      </c>
      <c r="K5" s="60">
        <v>465.42579144999996</v>
      </c>
      <c r="L5" s="59">
        <v>818.75978099999998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3.5" customHeight="1">
      <c r="A6" s="61" t="s">
        <v>416</v>
      </c>
      <c r="B6" s="62">
        <v>67052.61</v>
      </c>
      <c r="C6" s="62">
        <v>67319.94</v>
      </c>
      <c r="D6" s="62">
        <v>58715.78</v>
      </c>
      <c r="E6" s="62">
        <v>88250.79</v>
      </c>
      <c r="F6" s="62">
        <v>81821.8</v>
      </c>
      <c r="G6" s="62">
        <v>78470.210000000006</v>
      </c>
      <c r="H6" s="62">
        <v>75397.53</v>
      </c>
      <c r="I6" s="62">
        <v>69047.820000000007</v>
      </c>
      <c r="J6" s="62">
        <v>82681.89</v>
      </c>
      <c r="K6" s="62">
        <v>83904.173049649908</v>
      </c>
      <c r="L6" s="62">
        <v>115269.160137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3.5" customHeight="1">
      <c r="A7" s="56" t="s">
        <v>417</v>
      </c>
      <c r="B7" s="57">
        <v>18547.939999999999</v>
      </c>
      <c r="C7" s="57">
        <v>13331.83</v>
      </c>
      <c r="D7" s="57">
        <v>12945.02</v>
      </c>
      <c r="E7" s="57">
        <v>17386.02</v>
      </c>
      <c r="F7" s="57">
        <v>15664.84</v>
      </c>
      <c r="G7" s="57">
        <v>13294.46</v>
      </c>
      <c r="H7" s="57">
        <v>14049.61</v>
      </c>
      <c r="I7" s="57">
        <v>12720.88</v>
      </c>
      <c r="J7" s="57">
        <v>20078.29</v>
      </c>
      <c r="K7" s="57">
        <v>20259.288753400004</v>
      </c>
      <c r="L7" s="57">
        <v>26302.808691999999</v>
      </c>
    </row>
    <row r="8" spans="1:26" ht="13.5" customHeight="1">
      <c r="A8" s="56" t="s">
        <v>418</v>
      </c>
      <c r="B8" s="57">
        <v>11169.44</v>
      </c>
      <c r="C8" s="57">
        <v>12963.41</v>
      </c>
      <c r="D8" s="57">
        <v>11783.83</v>
      </c>
      <c r="E8" s="57">
        <v>21055.53</v>
      </c>
      <c r="F8" s="57">
        <v>21792.720000000001</v>
      </c>
      <c r="G8" s="57">
        <v>21456.03</v>
      </c>
      <c r="H8" s="57">
        <v>21043.26</v>
      </c>
      <c r="I8" s="57">
        <v>18453.580000000002</v>
      </c>
      <c r="J8" s="57">
        <v>22004.93</v>
      </c>
      <c r="K8" s="57">
        <v>20793.032760149992</v>
      </c>
      <c r="L8" s="57">
        <v>31346.361452000001</v>
      </c>
    </row>
    <row r="9" spans="1:26" ht="13.5" customHeight="1">
      <c r="A9" s="56" t="s">
        <v>419</v>
      </c>
      <c r="B9" s="57">
        <v>21404.53</v>
      </c>
      <c r="C9" s="57">
        <v>38407.279999999999</v>
      </c>
      <c r="D9" s="57">
        <v>29496.22</v>
      </c>
      <c r="E9" s="57">
        <v>45608.79</v>
      </c>
      <c r="F9" s="57">
        <v>39924.980000000003</v>
      </c>
      <c r="G9" s="57">
        <v>39414.870000000003</v>
      </c>
      <c r="H9" s="57">
        <v>36026.550000000003</v>
      </c>
      <c r="I9" s="57">
        <v>32252.5</v>
      </c>
      <c r="J9" s="57">
        <v>34697.879999999997</v>
      </c>
      <c r="K9" s="57">
        <v>37310.20433369992</v>
      </c>
      <c r="L9" s="57">
        <v>49209.900418999998</v>
      </c>
    </row>
    <row r="10" spans="1:26" ht="13.5" customHeight="1">
      <c r="A10" s="56" t="s">
        <v>420</v>
      </c>
      <c r="B10" s="57">
        <v>15930.7</v>
      </c>
      <c r="C10" s="57">
        <v>2617.42</v>
      </c>
      <c r="D10" s="57">
        <v>4490.72</v>
      </c>
      <c r="E10" s="57">
        <v>4200.45</v>
      </c>
      <c r="F10" s="57">
        <v>4439.25</v>
      </c>
      <c r="G10" s="57">
        <v>4304.8599999999997</v>
      </c>
      <c r="H10" s="57">
        <v>4278.1099999999997</v>
      </c>
      <c r="I10" s="57">
        <v>5620.86</v>
      </c>
      <c r="J10" s="57">
        <v>5900.78</v>
      </c>
      <c r="K10" s="57">
        <v>5541.6472023999995</v>
      </c>
      <c r="L10" s="57">
        <v>8410.0895739999996</v>
      </c>
    </row>
    <row r="11" spans="1:26" ht="13.5" customHeight="1">
      <c r="A11" s="56" t="s">
        <v>421</v>
      </c>
      <c r="B11" s="57">
        <v>13724.13</v>
      </c>
      <c r="C11" s="57">
        <v>10164.82</v>
      </c>
      <c r="D11" s="57">
        <v>10809.34</v>
      </c>
      <c r="E11" s="57">
        <v>14391.45</v>
      </c>
      <c r="F11" s="57">
        <v>11840.48</v>
      </c>
      <c r="G11" s="57">
        <v>12293.37</v>
      </c>
      <c r="H11" s="57">
        <v>14137.91</v>
      </c>
      <c r="I11" s="57">
        <v>14477.34</v>
      </c>
      <c r="J11" s="57">
        <v>16855.02</v>
      </c>
      <c r="K11" s="57">
        <v>18660.051966650008</v>
      </c>
      <c r="L11" s="57">
        <v>18488.516877999999</v>
      </c>
    </row>
    <row r="12" spans="1:26" ht="13.5" customHeight="1">
      <c r="A12" s="56" t="s">
        <v>422</v>
      </c>
      <c r="B12" s="57">
        <v>16749.8</v>
      </c>
      <c r="C12" s="57">
        <v>24814.79</v>
      </c>
      <c r="D12" s="57">
        <v>22671.51</v>
      </c>
      <c r="E12" s="57">
        <v>37915.839999999997</v>
      </c>
      <c r="F12" s="57">
        <v>38986.15</v>
      </c>
      <c r="G12" s="57">
        <v>43127.96</v>
      </c>
      <c r="H12" s="57">
        <v>40084.17</v>
      </c>
      <c r="I12" s="57">
        <v>41862.449999999997</v>
      </c>
      <c r="J12" s="57">
        <v>45349.33</v>
      </c>
      <c r="K12" s="57">
        <v>54087.804985899995</v>
      </c>
      <c r="L12" s="57">
        <v>66456.542086000001</v>
      </c>
    </row>
    <row r="13" spans="1:26" ht="13.5" customHeight="1">
      <c r="A13" s="63" t="s">
        <v>423</v>
      </c>
      <c r="B13" s="64">
        <v>70732.25</v>
      </c>
      <c r="C13" s="64">
        <v>70774.350000000006</v>
      </c>
      <c r="D13" s="64">
        <v>83978.29</v>
      </c>
      <c r="E13" s="64">
        <v>92023.58</v>
      </c>
      <c r="F13" s="64">
        <v>106727.14</v>
      </c>
      <c r="G13" s="64">
        <v>108838.64</v>
      </c>
      <c r="H13" s="64">
        <v>108273.03</v>
      </c>
      <c r="I13" s="64">
        <v>96083.1</v>
      </c>
      <c r="J13" s="64">
        <v>105954.85</v>
      </c>
      <c r="K13" s="64">
        <v>108198.41284890026</v>
      </c>
      <c r="L13" s="64">
        <v>133442.894134</v>
      </c>
    </row>
    <row r="14" spans="1:26" ht="13.5" customHeight="1">
      <c r="A14" s="56" t="s">
        <v>424</v>
      </c>
      <c r="B14" s="57">
        <v>6527.41</v>
      </c>
      <c r="C14" s="57">
        <v>6454.43</v>
      </c>
      <c r="D14" s="57">
        <v>4869.95</v>
      </c>
      <c r="E14" s="57">
        <v>5965.27</v>
      </c>
      <c r="F14" s="57">
        <v>7619.42</v>
      </c>
      <c r="G14" s="57">
        <v>6550.87</v>
      </c>
      <c r="H14" s="57">
        <v>7182.39</v>
      </c>
      <c r="I14" s="57">
        <v>6695.73</v>
      </c>
      <c r="J14" s="57">
        <v>7023.53</v>
      </c>
      <c r="K14" s="57">
        <v>7848.6452459500042</v>
      </c>
      <c r="L14" s="57">
        <v>10210.051148</v>
      </c>
    </row>
    <row r="15" spans="1:26" ht="13.5" customHeight="1">
      <c r="A15" s="56" t="s">
        <v>425</v>
      </c>
      <c r="B15" s="57">
        <v>21685.06</v>
      </c>
      <c r="C15" s="57">
        <v>24609.43</v>
      </c>
      <c r="D15" s="57">
        <v>23754.34</v>
      </c>
      <c r="E15" s="57">
        <v>31038.16</v>
      </c>
      <c r="F15" s="57">
        <v>31285.14</v>
      </c>
      <c r="G15" s="57">
        <v>32223.63</v>
      </c>
      <c r="H15" s="57">
        <v>30926.32</v>
      </c>
      <c r="I15" s="57">
        <v>33796.379999999997</v>
      </c>
      <c r="J15" s="57">
        <v>34889.300000000003</v>
      </c>
      <c r="K15" s="57">
        <v>39661.957610949954</v>
      </c>
      <c r="L15" s="57">
        <v>43678.626572000001</v>
      </c>
    </row>
    <row r="16" spans="1:26" ht="13.5" customHeight="1">
      <c r="A16" s="56" t="s">
        <v>426</v>
      </c>
      <c r="B16" s="57">
        <v>978.95</v>
      </c>
      <c r="C16" s="57">
        <v>540.79999999999995</v>
      </c>
      <c r="D16" s="57">
        <v>950.87</v>
      </c>
      <c r="E16" s="57">
        <v>2279.09</v>
      </c>
      <c r="F16" s="57">
        <v>1871.57</v>
      </c>
      <c r="G16" s="57">
        <v>1731.9</v>
      </c>
      <c r="H16" s="57">
        <v>2147.67</v>
      </c>
      <c r="I16" s="57">
        <v>3364.18</v>
      </c>
      <c r="J16" s="57">
        <v>2908.22</v>
      </c>
      <c r="K16" s="57">
        <v>1819.1538239000001</v>
      </c>
      <c r="L16" s="57">
        <v>3644.8891659999999</v>
      </c>
    </row>
    <row r="17" spans="1:12" ht="13.5" customHeight="1">
      <c r="A17" s="53" t="s">
        <v>427</v>
      </c>
      <c r="B17" s="65">
        <v>317005.69</v>
      </c>
      <c r="C17" s="65">
        <v>350446.59</v>
      </c>
      <c r="D17" s="65">
        <v>336397.48</v>
      </c>
      <c r="E17" s="65">
        <v>405531.74</v>
      </c>
      <c r="F17" s="65">
        <v>417153.55</v>
      </c>
      <c r="G17" s="65">
        <v>414961.79</v>
      </c>
      <c r="H17" s="65">
        <v>432628.32</v>
      </c>
      <c r="I17" s="65">
        <v>433049.61</v>
      </c>
      <c r="J17" s="65">
        <v>489640.38</v>
      </c>
      <c r="K17" s="65">
        <v>494966.8438038</v>
      </c>
      <c r="L17" s="65">
        <v>598725.91827000002</v>
      </c>
    </row>
    <row r="18" spans="1:12" s="389" customFormat="1" ht="13.5" customHeight="1">
      <c r="A18" s="460" t="s">
        <v>92</v>
      </c>
      <c r="B18" s="467"/>
      <c r="C18" s="468"/>
      <c r="D18" s="469"/>
      <c r="E18" s="469"/>
      <c r="F18" s="469"/>
      <c r="G18" s="469"/>
    </row>
    <row r="19" spans="1:12" s="390" customFormat="1" ht="13.5" customHeight="1">
      <c r="A19" s="438" t="s">
        <v>505</v>
      </c>
      <c r="B19" s="462"/>
      <c r="C19" s="466"/>
    </row>
    <row r="20" spans="1:12" s="390" customFormat="1" ht="13.5" customHeight="1">
      <c r="A20" s="381" t="s">
        <v>29</v>
      </c>
      <c r="B20" s="462"/>
      <c r="C20" s="462"/>
    </row>
    <row r="21" spans="1:12" ht="13.5" customHeight="1"/>
    <row r="22" spans="1:12" ht="13.5" customHeight="1">
      <c r="C22" s="67"/>
    </row>
    <row r="23" spans="1:12" ht="13.5" customHeight="1">
      <c r="B23" s="68"/>
      <c r="C23" s="68"/>
    </row>
    <row r="24" spans="1:12" ht="13.5" customHeight="1"/>
    <row r="25" spans="1:12" ht="13.5" customHeight="1"/>
    <row r="26" spans="1:12" ht="13.5" customHeight="1"/>
    <row r="27" spans="1:12" ht="13.5" customHeight="1"/>
    <row r="28" spans="1:12" ht="13.5" customHeight="1"/>
    <row r="29" spans="1:12" ht="13.5" customHeight="1"/>
    <row r="30" spans="1:12" ht="13.5" customHeight="1"/>
    <row r="31" spans="1:12" ht="13.5" customHeight="1"/>
    <row r="32" spans="1:12" ht="13.5" customHeight="1"/>
    <row r="33" s="7" customFormat="1" ht="13.5" customHeight="1"/>
    <row r="34" s="7" customFormat="1" ht="13.5" customHeight="1"/>
    <row r="35" s="7" customFormat="1" ht="13.5" customHeight="1"/>
    <row r="36" s="7" customFormat="1" ht="13.5" customHeight="1"/>
    <row r="37" s="7" customFormat="1" ht="13.5" customHeight="1"/>
    <row r="38" s="7" customFormat="1" ht="13.5" customHeight="1"/>
    <row r="39" s="7" customFormat="1" ht="13.5" customHeight="1"/>
    <row r="40" s="7" customFormat="1" ht="13.5" customHeight="1"/>
    <row r="41" s="7" customFormat="1" ht="13.5" customHeight="1"/>
    <row r="42" s="7" customFormat="1" ht="13.5" customHeight="1"/>
    <row r="43" s="7" customFormat="1" ht="13.5" customHeight="1"/>
    <row r="44" s="7" customFormat="1" ht="13.5" customHeight="1"/>
    <row r="45" s="7" customFormat="1" ht="13.5" customHeight="1"/>
    <row r="46" s="7" customFormat="1" ht="13.5" customHeight="1"/>
    <row r="47" s="7" customFormat="1" ht="13.5" customHeight="1"/>
    <row r="48" s="7" customFormat="1" ht="13.5" customHeight="1"/>
    <row r="49" s="7" customFormat="1" ht="13.5" customHeight="1"/>
    <row r="50" s="7" customFormat="1" ht="13.5" customHeight="1"/>
    <row r="51" s="7" customFormat="1" ht="13.5" customHeight="1"/>
    <row r="52" s="7" customFormat="1" ht="13.5" customHeight="1"/>
    <row r="53" s="7" customFormat="1" ht="13.5" customHeight="1"/>
    <row r="54" s="7" customFormat="1" ht="13.5" customHeight="1"/>
    <row r="55" s="7" customFormat="1" ht="13.5" customHeight="1"/>
    <row r="56" s="7" customFormat="1" ht="13.5" customHeight="1"/>
    <row r="57" s="7" customFormat="1" ht="13.5" customHeight="1"/>
    <row r="58" s="7" customFormat="1" ht="13.5" customHeight="1"/>
    <row r="59" s="7" customFormat="1" ht="13.5" customHeight="1"/>
    <row r="60" s="7" customFormat="1" ht="13.5" customHeight="1"/>
    <row r="61" s="7" customFormat="1" ht="13.5" customHeight="1"/>
    <row r="62" s="7" customFormat="1" ht="13.5" customHeight="1"/>
    <row r="63" s="7" customFormat="1" ht="13.5" customHeight="1"/>
    <row r="64" s="7" customFormat="1" ht="13.5" customHeight="1"/>
    <row r="65" s="7" customFormat="1" ht="13.5" customHeight="1"/>
    <row r="66" s="7" customFormat="1" ht="13.5" customHeight="1"/>
    <row r="67" s="7" customFormat="1" ht="13.5" customHeight="1"/>
    <row r="68" s="7" customFormat="1" ht="13.5" customHeight="1"/>
    <row r="69" s="7" customFormat="1" ht="13.5" customHeight="1"/>
    <row r="70" s="7" customFormat="1" ht="13.5" customHeight="1"/>
    <row r="71" s="7" customFormat="1" ht="13.5" customHeight="1"/>
    <row r="72" s="7" customFormat="1" ht="13.5" customHeight="1"/>
    <row r="73" s="7" customFormat="1" ht="13.5" customHeight="1"/>
    <row r="74" s="7" customFormat="1" ht="13.5" customHeight="1"/>
    <row r="75" s="7" customFormat="1" ht="13.5" customHeight="1"/>
    <row r="76" s="7" customFormat="1" ht="13.5" customHeight="1"/>
    <row r="77" s="7" customFormat="1" ht="13.5" customHeight="1"/>
    <row r="78" s="7" customFormat="1" ht="13.5" customHeight="1"/>
    <row r="79" s="7" customFormat="1" ht="13.5" customHeight="1"/>
    <row r="80" s="7" customFormat="1" ht="13.5" customHeight="1"/>
    <row r="81" s="7" customFormat="1" ht="13.5" customHeight="1"/>
    <row r="82" s="7" customFormat="1" ht="13.5" customHeight="1"/>
    <row r="83" s="7" customFormat="1" ht="13.5" customHeight="1"/>
    <row r="84" s="7" customFormat="1" ht="13.5" customHeight="1"/>
    <row r="85" s="7" customFormat="1" ht="13.5" customHeight="1"/>
    <row r="86" s="7" customFormat="1" ht="13.5" customHeight="1"/>
    <row r="87" s="7" customFormat="1" ht="13.5" customHeight="1"/>
    <row r="88" s="7" customFormat="1" ht="13.5" customHeight="1"/>
    <row r="89" s="7" customFormat="1" ht="13.5" customHeight="1"/>
    <row r="90" s="7" customFormat="1" ht="13.5" customHeight="1"/>
    <row r="91" s="7" customFormat="1" ht="13.5" customHeight="1"/>
    <row r="92" s="7" customFormat="1" ht="13.5" customHeight="1"/>
    <row r="93" s="7" customFormat="1" ht="13.5" customHeight="1"/>
    <row r="94" s="7" customFormat="1" ht="13.5" customHeight="1"/>
    <row r="95" s="7" customFormat="1" ht="13.5" customHeight="1"/>
    <row r="96" s="7" customFormat="1" ht="13.5" customHeight="1"/>
    <row r="97" s="7" customFormat="1" ht="13.5" customHeight="1"/>
    <row r="98" s="7" customFormat="1" ht="13.5" customHeight="1"/>
    <row r="99" s="7" customFormat="1" ht="13.5" customHeight="1"/>
    <row r="100" s="7" customFormat="1" ht="13.5" customHeight="1"/>
    <row r="101" s="7" customFormat="1" ht="13.5" customHeight="1"/>
    <row r="102" s="7" customFormat="1" ht="13.5" customHeight="1"/>
    <row r="103" s="7" customFormat="1" ht="13.5" customHeight="1"/>
    <row r="104" s="7" customFormat="1" ht="13.5" customHeight="1"/>
    <row r="105" s="7" customFormat="1" ht="13.5" customHeight="1"/>
    <row r="106" s="7" customFormat="1" ht="13.5" customHeight="1"/>
    <row r="107" s="7" customFormat="1" ht="13.5" customHeight="1"/>
    <row r="108" s="7" customFormat="1" ht="13.5" customHeight="1"/>
    <row r="109" s="7" customFormat="1" ht="13.5" customHeight="1"/>
    <row r="110" s="7" customFormat="1" ht="13.5" customHeight="1"/>
    <row r="111" s="7" customFormat="1" ht="13.5" customHeight="1"/>
    <row r="112" s="7" customFormat="1" ht="13.5" customHeight="1"/>
    <row r="113" s="7" customFormat="1" ht="13.5" customHeight="1"/>
    <row r="114" s="7" customFormat="1" ht="13.5" customHeight="1"/>
    <row r="115" s="7" customFormat="1" ht="13.5" customHeight="1"/>
    <row r="116" s="7" customFormat="1" ht="13.5" customHeight="1"/>
    <row r="117" s="7" customFormat="1" ht="13.5" customHeight="1"/>
    <row r="118" s="7" customFormat="1" ht="13.5" customHeight="1"/>
    <row r="119" s="7" customFormat="1" ht="13.5" customHeight="1"/>
    <row r="120" s="7" customFormat="1" ht="13.5" customHeight="1"/>
    <row r="121" s="7" customFormat="1" ht="13.5" customHeight="1"/>
    <row r="122" s="7" customFormat="1" ht="13.5" customHeight="1"/>
    <row r="123" s="7" customFormat="1" ht="13.5" customHeight="1"/>
    <row r="124" s="7" customFormat="1" ht="13.5" customHeight="1"/>
    <row r="125" s="7" customFormat="1" ht="13.5" customHeight="1"/>
    <row r="126" s="7" customFormat="1" ht="13.5" customHeight="1"/>
    <row r="127" s="7" customFormat="1" ht="13.5" customHeight="1"/>
    <row r="128" s="7" customFormat="1" ht="13.5" customHeight="1"/>
    <row r="129" s="7" customFormat="1" ht="13.5" customHeight="1"/>
    <row r="130" s="7" customFormat="1" ht="13.5" customHeight="1"/>
    <row r="131" s="7" customFormat="1" ht="13.5" customHeight="1"/>
    <row r="132" s="7" customFormat="1" ht="13.5" customHeight="1"/>
    <row r="133" s="7" customFormat="1" ht="13.5" customHeight="1"/>
    <row r="134" s="7" customFormat="1" ht="13.5" customHeight="1"/>
    <row r="135" s="7" customFormat="1" ht="13.5" customHeight="1"/>
    <row r="136" s="7" customFormat="1" ht="13.5" customHeight="1"/>
    <row r="137" s="7" customFormat="1" ht="13.5" customHeight="1"/>
    <row r="138" s="7" customFormat="1" ht="13.5" customHeight="1"/>
    <row r="139" s="7" customFormat="1" ht="13.5" customHeight="1"/>
    <row r="140" s="7" customFormat="1" ht="13.5" customHeight="1"/>
    <row r="141" s="7" customFormat="1" ht="13.5" customHeight="1"/>
    <row r="142" s="7" customFormat="1" ht="13.5" customHeight="1"/>
    <row r="143" s="7" customFormat="1" ht="13.5" customHeight="1"/>
    <row r="144" s="7" customFormat="1" ht="13.5" customHeight="1"/>
    <row r="145" s="7" customFormat="1" ht="13.5" customHeight="1"/>
    <row r="146" s="7" customFormat="1" ht="13.5" customHeight="1"/>
    <row r="147" s="7" customFormat="1" ht="13.5" customHeight="1"/>
    <row r="148" s="7" customFormat="1" ht="13.5" customHeight="1"/>
    <row r="149" s="7" customFormat="1" ht="13.5" customHeight="1"/>
    <row r="150" s="7" customFormat="1" ht="13.5" customHeight="1"/>
    <row r="151" s="7" customFormat="1" ht="13.5" customHeight="1"/>
    <row r="152" s="7" customFormat="1" ht="13.5" customHeight="1"/>
    <row r="153" s="7" customFormat="1" ht="13.5" customHeight="1"/>
    <row r="154" s="7" customFormat="1" ht="13.5" customHeight="1"/>
    <row r="155" s="7" customFormat="1" ht="13.5" customHeight="1"/>
    <row r="156" s="7" customFormat="1" ht="13.5" customHeight="1"/>
    <row r="157" s="7" customFormat="1" ht="13.5" customHeight="1"/>
    <row r="158" s="7" customFormat="1" ht="13.5" customHeight="1"/>
    <row r="159" s="7" customFormat="1" ht="13.5" customHeight="1"/>
    <row r="160" s="7" customFormat="1" ht="13.5" customHeight="1"/>
    <row r="161" s="7" customFormat="1" ht="13.5" customHeight="1"/>
    <row r="162" s="7" customFormat="1" ht="13.5" customHeight="1"/>
    <row r="163" s="7" customFormat="1" ht="13.5" customHeight="1"/>
    <row r="164" s="7" customFormat="1" ht="13.5" customHeight="1"/>
    <row r="165" s="7" customFormat="1" ht="13.5" customHeight="1"/>
    <row r="166" s="7" customFormat="1" ht="13.5" customHeight="1"/>
    <row r="167" s="7" customFormat="1" ht="13.5" customHeight="1"/>
    <row r="168" s="7" customFormat="1" ht="13.5" customHeight="1"/>
    <row r="169" s="7" customFormat="1" ht="13.5" customHeight="1"/>
    <row r="170" s="7" customFormat="1" ht="13.5" customHeight="1"/>
    <row r="171" s="7" customFormat="1" ht="13.5" customHeight="1"/>
    <row r="172" s="7" customFormat="1" ht="13.5" customHeight="1"/>
    <row r="173" s="7" customFormat="1" ht="13.5" customHeight="1"/>
    <row r="174" s="7" customFormat="1" ht="13.5" customHeight="1"/>
    <row r="175" s="7" customFormat="1" ht="13.5" customHeight="1"/>
    <row r="176" s="7" customFormat="1" ht="13.5" customHeight="1"/>
    <row r="177" s="7" customFormat="1" ht="13.5" customHeight="1"/>
    <row r="178" s="7" customFormat="1" ht="13.5" customHeight="1"/>
    <row r="179" s="7" customFormat="1" ht="13.5" customHeight="1"/>
    <row r="180" s="7" customFormat="1" ht="13.5" customHeight="1"/>
    <row r="181" s="7" customFormat="1" ht="13.5" customHeight="1"/>
    <row r="182" s="7" customFormat="1" ht="13.5" customHeight="1"/>
    <row r="183" s="7" customFormat="1" ht="13.5" customHeight="1"/>
    <row r="184" s="7" customFormat="1" ht="13.5" customHeight="1"/>
    <row r="185" s="7" customFormat="1" ht="13.5" customHeight="1"/>
    <row r="186" s="7" customFormat="1" ht="13.5" customHeight="1"/>
    <row r="187" s="7" customFormat="1" ht="13.5" customHeight="1"/>
    <row r="188" s="7" customFormat="1" ht="13.5" customHeight="1"/>
    <row r="189" s="7" customFormat="1" ht="13.5" customHeight="1"/>
    <row r="190" s="7" customFormat="1" ht="13.5" customHeight="1"/>
    <row r="191" s="7" customFormat="1" ht="13.5" customHeight="1"/>
    <row r="192" s="7" customFormat="1" ht="13.5" customHeight="1"/>
    <row r="193" s="7" customFormat="1" ht="13.5" customHeight="1"/>
    <row r="194" s="7" customFormat="1" ht="13.5" customHeight="1"/>
    <row r="195" s="7" customFormat="1" ht="13.5" customHeight="1"/>
    <row r="196" s="7" customFormat="1" ht="13.5" customHeight="1"/>
    <row r="197" s="7" customFormat="1" ht="13.5" customHeight="1"/>
    <row r="198" s="7" customFormat="1" ht="13.5" customHeight="1"/>
    <row r="199" s="7" customFormat="1" ht="13.5" customHeight="1"/>
    <row r="200" s="7" customFormat="1" ht="13.5" customHeight="1"/>
    <row r="201" s="7" customFormat="1" ht="13.5" customHeight="1"/>
    <row r="202" s="7" customFormat="1" ht="13.5" customHeight="1"/>
    <row r="203" s="7" customFormat="1" ht="13.5" customHeight="1"/>
    <row r="204" s="7" customFormat="1" ht="13.5" customHeight="1"/>
    <row r="205" s="7" customFormat="1" ht="13.5" customHeight="1"/>
    <row r="206" s="7" customFormat="1" ht="13.5" customHeight="1"/>
    <row r="207" s="7" customFormat="1" ht="13.5" customHeight="1"/>
    <row r="208" s="7" customFormat="1" ht="13.5" customHeight="1"/>
    <row r="209" s="7" customFormat="1" ht="13.5" customHeight="1"/>
    <row r="210" s="7" customFormat="1" ht="13.5" customHeight="1"/>
    <row r="211" s="7" customFormat="1" ht="13.5" customHeight="1"/>
    <row r="212" s="7" customFormat="1" ht="13.5" customHeight="1"/>
    <row r="213" s="7" customFormat="1" ht="13.5" customHeight="1"/>
    <row r="214" s="7" customFormat="1" ht="13.5" customHeight="1"/>
    <row r="215" s="7" customFormat="1" ht="13.5" customHeight="1"/>
    <row r="216" s="7" customFormat="1" ht="13.5" customHeight="1"/>
    <row r="217" s="7" customFormat="1" ht="13.5" customHeight="1"/>
    <row r="218" s="7" customFormat="1" ht="13.5" customHeight="1"/>
    <row r="219" s="7" customFormat="1" ht="13.5" customHeight="1"/>
    <row r="220" s="7" customFormat="1" ht="13.5" customHeight="1"/>
    <row r="221" s="7" customFormat="1" ht="13.5" customHeight="1"/>
    <row r="222" s="7" customFormat="1" ht="13.5" customHeight="1"/>
    <row r="223" s="7" customFormat="1" ht="13.5" customHeight="1"/>
    <row r="224" s="7" customFormat="1" ht="13.5" customHeight="1"/>
    <row r="225" s="7" customFormat="1" ht="13.5" customHeight="1"/>
    <row r="226" s="7" customFormat="1" ht="13.5" customHeight="1"/>
    <row r="227" s="7" customFormat="1" ht="13.5" customHeight="1"/>
    <row r="228" s="7" customFormat="1" ht="13.5" customHeight="1"/>
    <row r="229" s="7" customFormat="1" ht="13.5" customHeight="1"/>
    <row r="230" s="7" customFormat="1" ht="13.5" customHeight="1"/>
    <row r="231" s="7" customFormat="1" ht="13.5" customHeight="1"/>
    <row r="232" s="7" customFormat="1" ht="13.5" customHeight="1"/>
    <row r="233" s="7" customFormat="1" ht="13.5" customHeight="1"/>
    <row r="234" s="7" customFormat="1" ht="13.5" customHeight="1"/>
    <row r="235" s="7" customFormat="1" ht="13.5" customHeight="1"/>
    <row r="236" s="7" customFormat="1" ht="13.5" customHeight="1"/>
    <row r="237" s="7" customFormat="1" ht="13.5" customHeight="1"/>
    <row r="238" s="7" customFormat="1" ht="13.5" customHeight="1"/>
    <row r="239" s="7" customFormat="1" ht="13.5" customHeight="1"/>
    <row r="240" s="7" customFormat="1" ht="13.5" customHeight="1"/>
    <row r="241" s="7" customFormat="1" ht="13.5" customHeight="1"/>
    <row r="242" s="7" customFormat="1" ht="13.5" customHeight="1"/>
    <row r="243" s="7" customFormat="1" ht="13.5" customHeight="1"/>
    <row r="244" s="7" customFormat="1" ht="13.5" customHeight="1"/>
    <row r="245" s="7" customFormat="1" ht="13.5" customHeight="1"/>
    <row r="246" s="7" customFormat="1" ht="13.5" customHeight="1"/>
    <row r="247" s="7" customFormat="1" ht="13.5" customHeight="1"/>
    <row r="248" s="7" customFormat="1" ht="13.5" customHeight="1"/>
    <row r="249" s="7" customFormat="1" ht="13.5" customHeight="1"/>
    <row r="250" s="7" customFormat="1" ht="13.5" customHeight="1"/>
    <row r="251" s="7" customFormat="1" ht="13.5" customHeight="1"/>
    <row r="252" s="7" customFormat="1" ht="13.5" customHeight="1"/>
    <row r="253" s="7" customFormat="1" ht="13.5" customHeight="1"/>
    <row r="254" s="7" customFormat="1" ht="13.5" customHeight="1"/>
    <row r="255" s="7" customFormat="1" ht="13.5" customHeight="1"/>
    <row r="256" s="7" customFormat="1" ht="13.5" customHeight="1"/>
    <row r="257" s="7" customFormat="1" ht="13.5" customHeight="1"/>
    <row r="258" s="7" customFormat="1" ht="13.5" customHeight="1"/>
    <row r="259" s="7" customFormat="1" ht="13.5" customHeight="1"/>
    <row r="260" s="7" customFormat="1" ht="13.5" customHeight="1"/>
    <row r="261" s="7" customFormat="1" ht="13.5" customHeight="1"/>
    <row r="262" s="7" customFormat="1" ht="13.5" customHeight="1"/>
    <row r="263" s="7" customFormat="1" ht="13.5" customHeight="1"/>
    <row r="264" s="7" customFormat="1" ht="13.5" customHeight="1"/>
    <row r="265" s="7" customFormat="1" ht="13.5" customHeight="1"/>
    <row r="266" s="7" customFormat="1" ht="13.5" customHeight="1"/>
    <row r="267" s="7" customFormat="1" ht="13.5" customHeight="1"/>
    <row r="268" s="7" customFormat="1" ht="13.5" customHeight="1"/>
    <row r="269" s="7" customFormat="1" ht="13.5" customHeight="1"/>
    <row r="270" s="7" customFormat="1" ht="13.5" customHeight="1"/>
    <row r="271" s="7" customFormat="1" ht="13.5" customHeight="1"/>
    <row r="272" s="7" customFormat="1" ht="13.5" customHeight="1"/>
    <row r="273" s="7" customFormat="1" ht="13.5" customHeight="1"/>
    <row r="274" s="7" customFormat="1" ht="13.5" customHeight="1"/>
    <row r="275" s="7" customFormat="1" ht="13.5" customHeight="1"/>
    <row r="276" s="7" customFormat="1" ht="13.5" customHeight="1"/>
    <row r="277" s="7" customFormat="1" ht="13.5" customHeight="1"/>
    <row r="278" s="7" customFormat="1" ht="13.5" customHeight="1"/>
    <row r="279" s="7" customFormat="1" ht="13.5" customHeight="1"/>
    <row r="280" s="7" customFormat="1" ht="13.5" customHeight="1"/>
    <row r="281" s="7" customFormat="1" ht="13.5" customHeight="1"/>
    <row r="282" s="7" customFormat="1" ht="13.5" customHeight="1"/>
    <row r="283" s="7" customFormat="1" ht="13.5" customHeight="1"/>
    <row r="284" s="7" customFormat="1" ht="13.5" customHeight="1"/>
    <row r="285" s="7" customFormat="1" ht="13.5" customHeight="1"/>
    <row r="286" s="7" customFormat="1" ht="13.5" customHeight="1"/>
    <row r="287" s="7" customFormat="1" ht="13.5" customHeight="1"/>
    <row r="288" s="7" customFormat="1" ht="13.5" customHeight="1"/>
    <row r="289" s="7" customFormat="1" ht="13.5" customHeight="1"/>
    <row r="290" s="7" customFormat="1" ht="13.5" customHeight="1"/>
    <row r="291" s="7" customFormat="1" ht="13.5" customHeight="1"/>
    <row r="292" s="7" customFormat="1" ht="13.5" customHeight="1"/>
    <row r="293" s="7" customFormat="1" ht="13.5" customHeight="1"/>
    <row r="294" s="7" customFormat="1" ht="13.5" customHeight="1"/>
    <row r="295" s="7" customFormat="1" ht="13.5" customHeight="1"/>
    <row r="296" s="7" customFormat="1" ht="13.5" customHeight="1"/>
    <row r="297" s="7" customFormat="1" ht="13.5" customHeight="1"/>
    <row r="298" s="7" customFormat="1" ht="13.5" customHeight="1"/>
    <row r="299" s="7" customFormat="1" ht="13.5" customHeight="1"/>
    <row r="300" s="7" customFormat="1" ht="13.5" customHeight="1"/>
    <row r="301" s="7" customFormat="1" ht="13.5" customHeight="1"/>
    <row r="302" s="7" customFormat="1" ht="13.5" customHeight="1"/>
    <row r="303" s="7" customFormat="1" ht="13.5" customHeight="1"/>
    <row r="304" s="7" customFormat="1" ht="13.5" customHeight="1"/>
    <row r="305" s="7" customFormat="1" ht="13.5" customHeight="1"/>
    <row r="306" s="7" customFormat="1" ht="13.5" customHeight="1"/>
    <row r="307" s="7" customFormat="1" ht="13.5" customHeight="1"/>
    <row r="308" s="7" customFormat="1" ht="13.5" customHeight="1"/>
    <row r="309" s="7" customFormat="1" ht="13.5" customHeight="1"/>
    <row r="310" s="7" customFormat="1" ht="13.5" customHeight="1"/>
    <row r="311" s="7" customFormat="1" ht="13.5" customHeight="1"/>
    <row r="312" s="7" customFormat="1" ht="13.5" customHeight="1"/>
    <row r="313" s="7" customFormat="1" ht="13.5" customHeight="1"/>
    <row r="314" s="7" customFormat="1" ht="13.5" customHeight="1"/>
    <row r="315" s="7" customFormat="1" ht="13.5" customHeight="1"/>
    <row r="316" s="7" customFormat="1" ht="13.5" customHeight="1"/>
    <row r="317" s="7" customFormat="1" ht="13.5" customHeight="1"/>
    <row r="318" s="7" customFormat="1" ht="13.5" customHeight="1"/>
    <row r="319" s="7" customFormat="1" ht="13.5" customHeight="1"/>
    <row r="320" s="7" customFormat="1" ht="13.5" customHeight="1"/>
    <row r="321" s="7" customFormat="1" ht="13.5" customHeight="1"/>
    <row r="322" s="7" customFormat="1" ht="13.5" customHeight="1"/>
    <row r="323" s="7" customFormat="1" ht="13.5" customHeight="1"/>
    <row r="324" s="7" customFormat="1" ht="13.5" customHeight="1"/>
    <row r="325" s="7" customFormat="1" ht="13.5" customHeight="1"/>
    <row r="326" s="7" customFormat="1" ht="13.5" customHeight="1"/>
    <row r="327" s="7" customFormat="1" ht="13.5" customHeight="1"/>
    <row r="328" s="7" customFormat="1" ht="13.5" customHeight="1"/>
    <row r="329" s="7" customFormat="1" ht="13.5" customHeight="1"/>
    <row r="330" s="7" customFormat="1" ht="13.5" customHeight="1"/>
    <row r="331" s="7" customFormat="1" ht="13.5" customHeight="1"/>
    <row r="332" s="7" customFormat="1" ht="13.5" customHeight="1"/>
    <row r="333" s="7" customFormat="1" ht="13.5" customHeight="1"/>
    <row r="334" s="7" customFormat="1" ht="13.5" customHeight="1"/>
    <row r="335" s="7" customFormat="1" ht="13.5" customHeight="1"/>
    <row r="336" s="7" customFormat="1" ht="13.5" customHeight="1"/>
    <row r="337" s="7" customFormat="1" ht="13.5" customHeight="1"/>
    <row r="338" s="7" customFormat="1" ht="13.5" customHeight="1"/>
    <row r="339" s="7" customFormat="1" ht="13.5" customHeight="1"/>
    <row r="340" s="7" customFormat="1" ht="13.5" customHeight="1"/>
    <row r="341" s="7" customFormat="1" ht="13.5" customHeight="1"/>
    <row r="342" s="7" customFormat="1" ht="13.5" customHeight="1"/>
    <row r="343" s="7" customFormat="1" ht="13.5" customHeight="1"/>
    <row r="344" s="7" customFormat="1" ht="13.5" customHeight="1"/>
    <row r="345" s="7" customFormat="1" ht="13.5" customHeight="1"/>
    <row r="346" s="7" customFormat="1" ht="13.5" customHeight="1"/>
    <row r="347" s="7" customFormat="1" ht="13.5" customHeight="1"/>
    <row r="348" s="7" customFormat="1" ht="13.5" customHeight="1"/>
    <row r="349" s="7" customFormat="1" ht="13.5" customHeight="1"/>
    <row r="350" s="7" customFormat="1" ht="13.5" customHeight="1"/>
    <row r="351" s="7" customFormat="1" ht="13.5" customHeight="1"/>
    <row r="352" s="7" customFormat="1" ht="13.5" customHeight="1"/>
    <row r="353" s="7" customFormat="1" ht="13.5" customHeight="1"/>
    <row r="354" s="7" customFormat="1" ht="13.5" customHeight="1"/>
    <row r="355" s="7" customFormat="1" ht="13.5" customHeight="1"/>
    <row r="356" s="7" customFormat="1" ht="13.5" customHeight="1"/>
    <row r="357" s="7" customFormat="1" ht="13.5" customHeight="1"/>
    <row r="358" s="7" customFormat="1" ht="13.5" customHeight="1"/>
    <row r="359" s="7" customFormat="1" ht="13.5" customHeight="1"/>
    <row r="360" s="7" customFormat="1" ht="13.5" customHeight="1"/>
    <row r="361" s="7" customFormat="1" ht="13.5" customHeight="1"/>
    <row r="362" s="7" customFormat="1" ht="13.5" customHeight="1"/>
    <row r="363" s="7" customFormat="1" ht="13.5" customHeight="1"/>
    <row r="364" s="7" customFormat="1" ht="13.5" customHeight="1"/>
    <row r="365" s="7" customFormat="1" ht="13.5" customHeight="1"/>
    <row r="366" s="7" customFormat="1" ht="13.5" customHeight="1"/>
    <row r="367" s="7" customFormat="1" ht="13.5" customHeight="1"/>
    <row r="368" s="7" customFormat="1" ht="13.5" customHeight="1"/>
    <row r="369" s="7" customFormat="1" ht="13.5" customHeight="1"/>
    <row r="370" s="7" customFormat="1" ht="13.5" customHeight="1"/>
    <row r="371" s="7" customFormat="1" ht="13.5" customHeight="1"/>
    <row r="372" s="7" customFormat="1" ht="13.5" customHeight="1"/>
    <row r="373" s="7" customFormat="1" ht="13.5" customHeight="1"/>
    <row r="374" s="7" customFormat="1" ht="13.5" customHeight="1"/>
    <row r="375" s="7" customFormat="1" ht="13.5" customHeight="1"/>
    <row r="376" s="7" customFormat="1" ht="13.5" customHeight="1"/>
    <row r="377" s="7" customFormat="1" ht="13.5" customHeight="1"/>
    <row r="378" s="7" customFormat="1" ht="13.5" customHeight="1"/>
    <row r="379" s="7" customFormat="1" ht="13.5" customHeight="1"/>
    <row r="380" s="7" customFormat="1" ht="13.5" customHeight="1"/>
    <row r="381" s="7" customFormat="1" ht="13.5" customHeight="1"/>
    <row r="382" s="7" customFormat="1" ht="13.5" customHeight="1"/>
    <row r="383" s="7" customFormat="1" ht="13.5" customHeight="1"/>
    <row r="384" s="7" customFormat="1" ht="13.5" customHeight="1"/>
    <row r="385" s="7" customFormat="1" ht="13.5" customHeight="1"/>
    <row r="386" s="7" customFormat="1" ht="13.5" customHeight="1"/>
    <row r="387" s="7" customFormat="1" ht="13.5" customHeight="1"/>
    <row r="388" s="7" customFormat="1" ht="13.5" customHeight="1"/>
    <row r="389" s="7" customFormat="1" ht="13.5" customHeight="1"/>
    <row r="390" s="7" customFormat="1" ht="13.5" customHeight="1"/>
    <row r="391" s="7" customFormat="1" ht="13.5" customHeight="1"/>
    <row r="392" s="7" customFormat="1" ht="13.5" customHeight="1"/>
    <row r="393" s="7" customFormat="1" ht="13.5" customHeight="1"/>
    <row r="394" s="7" customFormat="1" ht="13.5" customHeight="1"/>
    <row r="395" s="7" customFormat="1" ht="13.5" customHeight="1"/>
    <row r="396" s="7" customFormat="1" ht="13.5" customHeight="1"/>
    <row r="397" s="7" customFormat="1" ht="13.5" customHeight="1"/>
    <row r="398" s="7" customFormat="1" ht="13.5" customHeight="1"/>
    <row r="399" s="7" customFormat="1" ht="13.5" customHeight="1"/>
    <row r="400" s="7" customFormat="1" ht="13.5" customHeight="1"/>
    <row r="401" s="7" customFormat="1" ht="13.5" customHeight="1"/>
    <row r="402" s="7" customFormat="1" ht="13.5" customHeight="1"/>
    <row r="403" s="7" customFormat="1" ht="13.5" customHeight="1"/>
    <row r="404" s="7" customFormat="1" ht="13.5" customHeight="1"/>
    <row r="405" s="7" customFormat="1" ht="13.5" customHeight="1"/>
    <row r="406" s="7" customFormat="1" ht="13.5" customHeight="1"/>
    <row r="407" s="7" customFormat="1" ht="13.5" customHeight="1"/>
    <row r="408" s="7" customFormat="1" ht="13.5" customHeight="1"/>
    <row r="409" s="7" customFormat="1" ht="13.5" customHeight="1"/>
    <row r="410" s="7" customFormat="1" ht="13.5" customHeight="1"/>
    <row r="411" s="7" customFormat="1" ht="13.5" customHeight="1"/>
    <row r="412" s="7" customFormat="1" ht="13.5" customHeight="1"/>
    <row r="413" s="7" customFormat="1" ht="13.5" customHeight="1"/>
    <row r="414" s="7" customFormat="1" ht="13.5" customHeight="1"/>
    <row r="415" s="7" customFormat="1" ht="13.5" customHeight="1"/>
    <row r="416" s="7" customFormat="1" ht="13.5" customHeight="1"/>
    <row r="417" s="7" customFormat="1" ht="13.5" customHeight="1"/>
    <row r="418" s="7" customFormat="1" ht="13.5" customHeight="1"/>
    <row r="419" s="7" customFormat="1" ht="13.5" customHeight="1"/>
    <row r="420" s="7" customFormat="1" ht="13.5" customHeight="1"/>
    <row r="421" s="7" customFormat="1" ht="13.5" customHeight="1"/>
    <row r="422" s="7" customFormat="1" ht="13.5" customHeight="1"/>
    <row r="423" s="7" customFormat="1" ht="13.5" customHeight="1"/>
    <row r="424" s="7" customFormat="1" ht="13.5" customHeight="1"/>
    <row r="425" s="7" customFormat="1" ht="13.5" customHeight="1"/>
    <row r="426" s="7" customFormat="1" ht="13.5" customHeight="1"/>
    <row r="427" s="7" customFormat="1" ht="13.5" customHeight="1"/>
    <row r="428" s="7" customFormat="1" ht="13.5" customHeight="1"/>
    <row r="429" s="7" customFormat="1" ht="13.5" customHeight="1"/>
    <row r="430" s="7" customFormat="1" ht="13.5" customHeight="1"/>
    <row r="431" s="7" customFormat="1" ht="13.5" customHeight="1"/>
    <row r="432" s="7" customFormat="1" ht="13.5" customHeight="1"/>
    <row r="433" s="7" customFormat="1" ht="13.5" customHeight="1"/>
    <row r="434" s="7" customFormat="1" ht="13.5" customHeight="1"/>
    <row r="435" s="7" customFormat="1" ht="13.5" customHeight="1"/>
    <row r="436" s="7" customFormat="1" ht="13.5" customHeight="1"/>
    <row r="437" s="7" customFormat="1" ht="13.5" customHeight="1"/>
    <row r="438" s="7" customFormat="1" ht="13.5" customHeight="1"/>
    <row r="439" s="7" customFormat="1" ht="13.5" customHeight="1"/>
    <row r="440" s="7" customFormat="1" ht="13.5" customHeight="1"/>
    <row r="441" s="7" customFormat="1" ht="13.5" customHeight="1"/>
    <row r="442" s="7" customFormat="1" ht="13.5" customHeight="1"/>
    <row r="443" s="7" customFormat="1" ht="13.5" customHeight="1"/>
    <row r="444" s="7" customFormat="1" ht="13.5" customHeight="1"/>
    <row r="445" s="7" customFormat="1" ht="13.5" customHeight="1"/>
    <row r="446" s="7" customFormat="1" ht="13.5" customHeight="1"/>
    <row r="447" s="7" customFormat="1" ht="13.5" customHeight="1"/>
    <row r="448" s="7" customFormat="1" ht="13.5" customHeight="1"/>
    <row r="449" s="7" customFormat="1" ht="13.5" customHeight="1"/>
    <row r="450" s="7" customFormat="1" ht="13.5" customHeight="1"/>
    <row r="451" s="7" customFormat="1" ht="13.5" customHeight="1"/>
    <row r="452" s="7" customFormat="1" ht="13.5" customHeight="1"/>
    <row r="453" s="7" customFormat="1" ht="13.5" customHeight="1"/>
    <row r="454" s="7" customFormat="1" ht="13.5" customHeight="1"/>
    <row r="455" s="7" customFormat="1" ht="13.5" customHeight="1"/>
    <row r="456" s="7" customFormat="1" ht="13.5" customHeight="1"/>
    <row r="457" s="7" customFormat="1" ht="13.5" customHeight="1"/>
    <row r="458" s="7" customFormat="1" ht="13.5" customHeight="1"/>
    <row r="459" s="7" customFormat="1" ht="13.5" customHeight="1"/>
    <row r="460" s="7" customFormat="1" ht="13.5" customHeight="1"/>
    <row r="461" s="7" customFormat="1" ht="13.5" customHeight="1"/>
    <row r="462" s="7" customFormat="1" ht="13.5" customHeight="1"/>
    <row r="463" s="7" customFormat="1" ht="13.5" customHeight="1"/>
    <row r="464" s="7" customFormat="1" ht="13.5" customHeight="1"/>
    <row r="465" s="7" customFormat="1" ht="13.5" customHeight="1"/>
    <row r="466" s="7" customFormat="1" ht="13.5" customHeight="1"/>
    <row r="467" s="7" customFormat="1" ht="13.5" customHeight="1"/>
    <row r="468" s="7" customFormat="1" ht="13.5" customHeight="1"/>
    <row r="469" s="7" customFormat="1" ht="13.5" customHeight="1"/>
    <row r="470" s="7" customFormat="1" ht="13.5" customHeight="1"/>
    <row r="471" s="7" customFormat="1" ht="13.5" customHeight="1"/>
    <row r="472" s="7" customFormat="1" ht="13.5" customHeight="1"/>
    <row r="473" s="7" customFormat="1" ht="13.5" customHeight="1"/>
    <row r="474" s="7" customFormat="1" ht="13.5" customHeight="1"/>
    <row r="475" s="7" customFormat="1" ht="13.5" customHeight="1"/>
    <row r="476" s="7" customFormat="1" ht="13.5" customHeight="1"/>
    <row r="477" s="7" customFormat="1" ht="13.5" customHeight="1"/>
    <row r="478" s="7" customFormat="1" ht="13.5" customHeight="1"/>
    <row r="479" s="7" customFormat="1" ht="13.5" customHeight="1"/>
    <row r="480" s="7" customFormat="1" ht="13.5" customHeight="1"/>
    <row r="481" s="7" customFormat="1" ht="13.5" customHeight="1"/>
    <row r="482" s="7" customFormat="1" ht="13.5" customHeight="1"/>
    <row r="483" s="7" customFormat="1" ht="13.5" customHeight="1"/>
    <row r="484" s="7" customFormat="1" ht="13.5" customHeight="1"/>
    <row r="485" s="7" customFormat="1" ht="13.5" customHeight="1"/>
    <row r="486" s="7" customFormat="1" ht="13.5" customHeight="1"/>
    <row r="487" s="7" customFormat="1" ht="13.5" customHeight="1"/>
    <row r="488" s="7" customFormat="1" ht="13.5" customHeight="1"/>
    <row r="489" s="7" customFormat="1" ht="13.5" customHeight="1"/>
    <row r="490" s="7" customFormat="1" ht="13.5" customHeight="1"/>
    <row r="491" s="7" customFormat="1" ht="13.5" customHeight="1"/>
    <row r="492" s="7" customFormat="1" ht="13.5" customHeight="1"/>
    <row r="493" s="7" customFormat="1" ht="13.5" customHeight="1"/>
    <row r="494" s="7" customFormat="1" ht="13.5" customHeight="1"/>
    <row r="495" s="7" customFormat="1" ht="13.5" customHeight="1"/>
    <row r="496" s="7" customFormat="1" ht="13.5" customHeight="1"/>
    <row r="497" s="7" customFormat="1" ht="13.5" customHeight="1"/>
    <row r="498" s="7" customFormat="1" ht="13.5" customHeight="1"/>
    <row r="499" s="7" customFormat="1" ht="13.5" customHeight="1"/>
    <row r="500" s="7" customFormat="1" ht="13.5" customHeight="1"/>
    <row r="501" s="7" customFormat="1" ht="13.5" customHeight="1"/>
    <row r="502" s="7" customFormat="1" ht="13.5" customHeight="1"/>
    <row r="503" s="7" customFormat="1" ht="13.5" customHeight="1"/>
    <row r="504" s="7" customFormat="1" ht="13.5" customHeight="1"/>
    <row r="505" s="7" customFormat="1" ht="13.5" customHeight="1"/>
    <row r="506" s="7" customFormat="1" ht="13.5" customHeight="1"/>
    <row r="507" s="7" customFormat="1" ht="13.5" customHeight="1"/>
    <row r="508" s="7" customFormat="1" ht="13.5" customHeight="1"/>
    <row r="509" s="7" customFormat="1" ht="13.5" customHeight="1"/>
    <row r="510" s="7" customFormat="1" ht="13.5" customHeight="1"/>
    <row r="511" s="7" customFormat="1" ht="13.5" customHeight="1"/>
    <row r="512" s="7" customFormat="1" ht="13.5" customHeight="1"/>
    <row r="513" s="7" customFormat="1" ht="13.5" customHeight="1"/>
    <row r="514" s="7" customFormat="1" ht="13.5" customHeight="1"/>
    <row r="515" s="7" customFormat="1" ht="13.5" customHeight="1"/>
    <row r="516" s="7" customFormat="1" ht="13.5" customHeight="1"/>
    <row r="517" s="7" customFormat="1" ht="13.5" customHeight="1"/>
    <row r="518" s="7" customFormat="1" ht="13.5" customHeight="1"/>
    <row r="519" s="7" customFormat="1" ht="13.5" customHeight="1"/>
    <row r="520" s="7" customFormat="1" ht="13.5" customHeight="1"/>
    <row r="521" s="7" customFormat="1" ht="13.5" customHeight="1"/>
    <row r="522" s="7" customFormat="1" ht="13.5" customHeight="1"/>
    <row r="523" s="7" customFormat="1" ht="13.5" customHeight="1"/>
    <row r="524" s="7" customFormat="1" ht="13.5" customHeight="1"/>
    <row r="525" s="7" customFormat="1" ht="13.5" customHeight="1"/>
    <row r="526" s="7" customFormat="1" ht="13.5" customHeight="1"/>
    <row r="527" s="7" customFormat="1" ht="13.5" customHeight="1"/>
    <row r="528" s="7" customFormat="1" ht="13.5" customHeight="1"/>
    <row r="529" s="7" customFormat="1" ht="13.5" customHeight="1"/>
    <row r="530" s="7" customFormat="1" ht="13.5" customHeight="1"/>
    <row r="531" s="7" customFormat="1" ht="13.5" customHeight="1"/>
    <row r="532" s="7" customFormat="1" ht="13.5" customHeight="1"/>
    <row r="533" s="7" customFormat="1" ht="13.5" customHeight="1"/>
    <row r="534" s="7" customFormat="1" ht="13.5" customHeight="1"/>
    <row r="535" s="7" customFormat="1" ht="13.5" customHeight="1"/>
    <row r="536" s="7" customFormat="1" ht="13.5" customHeight="1"/>
    <row r="537" s="7" customFormat="1" ht="13.5" customHeight="1"/>
    <row r="538" s="7" customFormat="1" ht="13.5" customHeight="1"/>
    <row r="539" s="7" customFormat="1" ht="13.5" customHeight="1"/>
    <row r="540" s="7" customFormat="1" ht="13.5" customHeight="1"/>
    <row r="541" s="7" customFormat="1" ht="13.5" customHeight="1"/>
    <row r="542" s="7" customFormat="1" ht="13.5" customHeight="1"/>
    <row r="543" s="7" customFormat="1" ht="13.5" customHeight="1"/>
    <row r="544" s="7" customFormat="1" ht="13.5" customHeight="1"/>
    <row r="545" s="7" customFormat="1" ht="13.5" customHeight="1"/>
    <row r="546" s="7" customFormat="1" ht="13.5" customHeight="1"/>
    <row r="547" s="7" customFormat="1" ht="13.5" customHeight="1"/>
    <row r="548" s="7" customFormat="1" ht="13.5" customHeight="1"/>
    <row r="549" s="7" customFormat="1" ht="13.5" customHeight="1"/>
    <row r="550" s="7" customFormat="1" ht="13.5" customHeight="1"/>
    <row r="551" s="7" customFormat="1" ht="13.5" customHeight="1"/>
    <row r="552" s="7" customFormat="1" ht="13.5" customHeight="1"/>
    <row r="553" s="7" customFormat="1" ht="13.5" customHeight="1"/>
    <row r="554" s="7" customFormat="1" ht="13.5" customHeight="1"/>
    <row r="555" s="7" customFormat="1" ht="13.5" customHeight="1"/>
    <row r="556" s="7" customFormat="1" ht="13.5" customHeight="1"/>
    <row r="557" s="7" customFormat="1" ht="13.5" customHeight="1"/>
    <row r="558" s="7" customFormat="1" ht="13.5" customHeight="1"/>
    <row r="559" s="7" customFormat="1" ht="13.5" customHeight="1"/>
    <row r="560" s="7" customFormat="1" ht="13.5" customHeight="1"/>
    <row r="561" s="7" customFormat="1" ht="13.5" customHeight="1"/>
    <row r="562" s="7" customFormat="1" ht="13.5" customHeight="1"/>
    <row r="563" s="7" customFormat="1" ht="13.5" customHeight="1"/>
    <row r="564" s="7" customFormat="1" ht="13.5" customHeight="1"/>
    <row r="565" s="7" customFormat="1" ht="13.5" customHeight="1"/>
    <row r="566" s="7" customFormat="1" ht="13.5" customHeight="1"/>
    <row r="567" s="7" customFormat="1" ht="13.5" customHeight="1"/>
    <row r="568" s="7" customFormat="1" ht="13.5" customHeight="1"/>
    <row r="569" s="7" customFormat="1" ht="13.5" customHeight="1"/>
    <row r="570" s="7" customFormat="1" ht="13.5" customHeight="1"/>
    <row r="571" s="7" customFormat="1" ht="13.5" customHeight="1"/>
    <row r="572" s="7" customFormat="1" ht="13.5" customHeight="1"/>
    <row r="573" s="7" customFormat="1" ht="13.5" customHeight="1"/>
    <row r="574" s="7" customFormat="1" ht="13.5" customHeight="1"/>
    <row r="575" s="7" customFormat="1" ht="13.5" customHeight="1"/>
    <row r="576" s="7" customFormat="1" ht="13.5" customHeight="1"/>
    <row r="577" s="7" customFormat="1" ht="13.5" customHeight="1"/>
    <row r="578" s="7" customFormat="1" ht="13.5" customHeight="1"/>
    <row r="579" s="7" customFormat="1" ht="13.5" customHeight="1"/>
    <row r="580" s="7" customFormat="1" ht="13.5" customHeight="1"/>
    <row r="581" s="7" customFormat="1" ht="13.5" customHeight="1"/>
    <row r="582" s="7" customFormat="1" ht="13.5" customHeight="1"/>
    <row r="583" s="7" customFormat="1" ht="13.5" customHeight="1"/>
    <row r="584" s="7" customFormat="1" ht="13.5" customHeight="1"/>
    <row r="585" s="7" customFormat="1" ht="13.5" customHeight="1"/>
    <row r="586" s="7" customFormat="1" ht="13.5" customHeight="1"/>
    <row r="587" s="7" customFormat="1" ht="13.5" customHeight="1"/>
    <row r="588" s="7" customFormat="1" ht="13.5" customHeight="1"/>
    <row r="589" s="7" customFormat="1" ht="13.5" customHeight="1"/>
    <row r="590" s="7" customFormat="1" ht="13.5" customHeight="1"/>
    <row r="591" s="7" customFormat="1" ht="13.5" customHeight="1"/>
    <row r="592" s="7" customFormat="1" ht="13.5" customHeight="1"/>
    <row r="593" s="7" customFormat="1" ht="13.5" customHeight="1"/>
    <row r="594" s="7" customFormat="1" ht="13.5" customHeight="1"/>
    <row r="595" s="7" customFormat="1" ht="13.5" customHeight="1"/>
    <row r="596" s="7" customFormat="1" ht="13.5" customHeight="1"/>
    <row r="597" s="7" customFormat="1" ht="13.5" customHeight="1"/>
    <row r="598" s="7" customFormat="1" ht="13.5" customHeight="1"/>
    <row r="599" s="7" customFormat="1" ht="13.5" customHeight="1"/>
    <row r="600" s="7" customFormat="1" ht="13.5" customHeight="1"/>
    <row r="601" s="7" customFormat="1" ht="13.5" customHeight="1"/>
    <row r="602" s="7" customFormat="1" ht="13.5" customHeight="1"/>
    <row r="603" s="7" customFormat="1" ht="13.5" customHeight="1"/>
    <row r="604" s="7" customFormat="1" ht="13.5" customHeight="1"/>
    <row r="605" s="7" customFormat="1" ht="13.5" customHeight="1"/>
    <row r="606" s="7" customFormat="1" ht="13.5" customHeight="1"/>
    <row r="607" s="7" customFormat="1" ht="13.5" customHeight="1"/>
    <row r="608" s="7" customFormat="1" ht="13.5" customHeight="1"/>
    <row r="609" s="7" customFormat="1" ht="13.5" customHeight="1"/>
    <row r="610" s="7" customFormat="1" ht="13.5" customHeight="1"/>
    <row r="611" s="7" customFormat="1" ht="13.5" customHeight="1"/>
    <row r="612" s="7" customFormat="1" ht="13.5" customHeight="1"/>
    <row r="613" s="7" customFormat="1" ht="13.5" customHeight="1"/>
    <row r="614" s="7" customFormat="1" ht="13.5" customHeight="1"/>
    <row r="615" s="7" customFormat="1" ht="13.5" customHeight="1"/>
    <row r="616" s="7" customFormat="1" ht="13.5" customHeight="1"/>
    <row r="617" s="7" customFormat="1" ht="13.5" customHeight="1"/>
    <row r="618" s="7" customFormat="1" ht="13.5" customHeight="1"/>
    <row r="619" s="7" customFormat="1" ht="13.5" customHeight="1"/>
    <row r="620" s="7" customFormat="1" ht="13.5" customHeight="1"/>
    <row r="621" s="7" customFormat="1" ht="13.5" customHeight="1"/>
    <row r="622" s="7" customFormat="1" ht="13.5" customHeight="1"/>
    <row r="623" s="7" customFormat="1" ht="13.5" customHeight="1"/>
    <row r="624" s="7" customFormat="1" ht="13.5" customHeight="1"/>
    <row r="625" s="7" customFormat="1" ht="13.5" customHeight="1"/>
    <row r="626" s="7" customFormat="1" ht="13.5" customHeight="1"/>
    <row r="627" s="7" customFormat="1" ht="13.5" customHeight="1"/>
    <row r="628" s="7" customFormat="1" ht="13.5" customHeight="1"/>
    <row r="629" s="7" customFormat="1" ht="13.5" customHeight="1"/>
    <row r="630" s="7" customFormat="1" ht="13.5" customHeight="1"/>
    <row r="631" s="7" customFormat="1" ht="13.5" customHeight="1"/>
    <row r="632" s="7" customFormat="1" ht="13.5" customHeight="1"/>
    <row r="633" s="7" customFormat="1" ht="13.5" customHeight="1"/>
    <row r="634" s="7" customFormat="1" ht="13.5" customHeight="1"/>
    <row r="635" s="7" customFormat="1" ht="13.5" customHeight="1"/>
    <row r="636" s="7" customFormat="1" ht="13.5" customHeight="1"/>
    <row r="637" s="7" customFormat="1" ht="13.5" customHeight="1"/>
    <row r="638" s="7" customFormat="1" ht="13.5" customHeight="1"/>
    <row r="639" s="7" customFormat="1" ht="13.5" customHeight="1"/>
    <row r="640" s="7" customFormat="1" ht="13.5" customHeight="1"/>
    <row r="641" s="7" customFormat="1" ht="13.5" customHeight="1"/>
    <row r="642" s="7" customFormat="1" ht="13.5" customHeight="1"/>
    <row r="643" s="7" customFormat="1" ht="13.5" customHeight="1"/>
    <row r="644" s="7" customFormat="1" ht="13.5" customHeight="1"/>
    <row r="645" s="7" customFormat="1" ht="13.5" customHeight="1"/>
    <row r="646" s="7" customFormat="1" ht="13.5" customHeight="1"/>
    <row r="647" s="7" customFormat="1" ht="13.5" customHeight="1"/>
    <row r="648" s="7" customFormat="1" ht="13.5" customHeight="1"/>
    <row r="649" s="7" customFormat="1" ht="13.5" customHeight="1"/>
    <row r="650" s="7" customFormat="1" ht="13.5" customHeight="1"/>
    <row r="651" s="7" customFormat="1" ht="13.5" customHeight="1"/>
    <row r="652" s="7" customFormat="1" ht="13.5" customHeight="1"/>
    <row r="653" s="7" customFormat="1" ht="13.5" customHeight="1"/>
    <row r="654" s="7" customFormat="1" ht="13.5" customHeight="1"/>
    <row r="655" s="7" customFormat="1" ht="13.5" customHeight="1"/>
    <row r="656" s="7" customFormat="1" ht="13.5" customHeight="1"/>
    <row r="657" s="7" customFormat="1" ht="13.5" customHeight="1"/>
    <row r="658" s="7" customFormat="1" ht="13.5" customHeight="1"/>
    <row r="659" s="7" customFormat="1" ht="13.5" customHeight="1"/>
    <row r="660" s="7" customFormat="1" ht="13.5" customHeight="1"/>
    <row r="661" s="7" customFormat="1" ht="13.5" customHeight="1"/>
    <row r="662" s="7" customFormat="1" ht="13.5" customHeight="1"/>
    <row r="663" s="7" customFormat="1" ht="13.5" customHeight="1"/>
    <row r="664" s="7" customFormat="1" ht="13.5" customHeight="1"/>
    <row r="665" s="7" customFormat="1" ht="13.5" customHeight="1"/>
    <row r="666" s="7" customFormat="1" ht="13.5" customHeight="1"/>
    <row r="667" s="7" customFormat="1" ht="13.5" customHeight="1"/>
    <row r="668" s="7" customFormat="1" ht="13.5" customHeight="1"/>
    <row r="669" s="7" customFormat="1" ht="13.5" customHeight="1"/>
    <row r="670" s="7" customFormat="1" ht="13.5" customHeight="1"/>
    <row r="671" s="7" customFormat="1" ht="13.5" customHeight="1"/>
    <row r="672" s="7" customFormat="1" ht="13.5" customHeight="1"/>
    <row r="673" s="7" customFormat="1" ht="13.5" customHeight="1"/>
    <row r="674" s="7" customFormat="1" ht="13.5" customHeight="1"/>
    <row r="675" s="7" customFormat="1" ht="13.5" customHeight="1"/>
    <row r="676" s="7" customFormat="1" ht="13.5" customHeight="1"/>
    <row r="677" s="7" customFormat="1" ht="13.5" customHeight="1"/>
    <row r="678" s="7" customFormat="1" ht="13.5" customHeight="1"/>
    <row r="679" s="7" customFormat="1" ht="13.5" customHeight="1"/>
    <row r="680" s="7" customFormat="1" ht="13.5" customHeight="1"/>
    <row r="681" s="7" customFormat="1" ht="13.5" customHeight="1"/>
    <row r="682" s="7" customFormat="1" ht="13.5" customHeight="1"/>
    <row r="683" s="7" customFormat="1" ht="13.5" customHeight="1"/>
    <row r="684" s="7" customFormat="1" ht="13.5" customHeight="1"/>
    <row r="685" s="7" customFormat="1" ht="13.5" customHeight="1"/>
    <row r="686" s="7" customFormat="1" ht="13.5" customHeight="1"/>
    <row r="687" s="7" customFormat="1" ht="13.5" customHeight="1"/>
    <row r="688" s="7" customFormat="1" ht="13.5" customHeight="1"/>
    <row r="689" s="7" customFormat="1" ht="13.5" customHeight="1"/>
    <row r="690" s="7" customFormat="1" ht="13.5" customHeight="1"/>
    <row r="691" s="7" customFormat="1" ht="13.5" customHeight="1"/>
    <row r="692" s="7" customFormat="1" ht="13.5" customHeight="1"/>
    <row r="693" s="7" customFormat="1" ht="13.5" customHeight="1"/>
    <row r="694" s="7" customFormat="1" ht="13.5" customHeight="1"/>
    <row r="695" s="7" customFormat="1" ht="13.5" customHeight="1"/>
    <row r="696" s="7" customFormat="1" ht="13.5" customHeight="1"/>
    <row r="697" s="7" customFormat="1" ht="13.5" customHeight="1"/>
    <row r="698" s="7" customFormat="1" ht="13.5" customHeight="1"/>
    <row r="699" s="7" customFormat="1" ht="13.5" customHeight="1"/>
    <row r="700" s="7" customFormat="1" ht="13.5" customHeight="1"/>
    <row r="701" s="7" customFormat="1" ht="13.5" customHeight="1"/>
    <row r="702" s="7" customFormat="1" ht="13.5" customHeight="1"/>
    <row r="703" s="7" customFormat="1" ht="13.5" customHeight="1"/>
    <row r="704" s="7" customFormat="1" ht="13.5" customHeight="1"/>
    <row r="705" s="7" customFormat="1" ht="13.5" customHeight="1"/>
    <row r="706" s="7" customFormat="1" ht="13.5" customHeight="1"/>
    <row r="707" s="7" customFormat="1" ht="13.5" customHeight="1"/>
    <row r="708" s="7" customFormat="1" ht="13.5" customHeight="1"/>
    <row r="709" s="7" customFormat="1" ht="13.5" customHeight="1"/>
    <row r="710" s="7" customFormat="1" ht="13.5" customHeight="1"/>
    <row r="711" s="7" customFormat="1" ht="13.5" customHeight="1"/>
    <row r="712" s="7" customFormat="1" ht="13.5" customHeight="1"/>
    <row r="713" s="7" customFormat="1" ht="13.5" customHeight="1"/>
    <row r="714" s="7" customFormat="1" ht="13.5" customHeight="1"/>
    <row r="715" s="7" customFormat="1" ht="13.5" customHeight="1"/>
    <row r="716" s="7" customFormat="1" ht="13.5" customHeight="1"/>
    <row r="717" s="7" customFormat="1" ht="13.5" customHeight="1"/>
    <row r="718" s="7" customFormat="1" ht="13.5" customHeight="1"/>
    <row r="719" s="7" customFormat="1" ht="13.5" customHeight="1"/>
    <row r="720" s="7" customFormat="1" ht="13.5" customHeight="1"/>
    <row r="721" s="7" customFormat="1" ht="13.5" customHeight="1"/>
    <row r="722" s="7" customFormat="1" ht="13.5" customHeight="1"/>
    <row r="723" s="7" customFormat="1" ht="13.5" customHeight="1"/>
    <row r="724" s="7" customFormat="1" ht="13.5" customHeight="1"/>
    <row r="725" s="7" customFormat="1" ht="13.5" customHeight="1"/>
    <row r="726" s="7" customFormat="1" ht="13.5" customHeight="1"/>
    <row r="727" s="7" customFormat="1" ht="13.5" customHeight="1"/>
    <row r="728" s="7" customFormat="1" ht="13.5" customHeight="1"/>
    <row r="729" s="7" customFormat="1" ht="13.5" customHeight="1"/>
    <row r="730" s="7" customFormat="1" ht="13.5" customHeight="1"/>
    <row r="731" s="7" customFormat="1" ht="13.5" customHeight="1"/>
    <row r="732" s="7" customFormat="1" ht="13.5" customHeight="1"/>
    <row r="733" s="7" customFormat="1" ht="13.5" customHeight="1"/>
    <row r="734" s="7" customFormat="1" ht="13.5" customHeight="1"/>
    <row r="735" s="7" customFormat="1" ht="13.5" customHeight="1"/>
    <row r="736" s="7" customFormat="1" ht="13.5" customHeight="1"/>
    <row r="737" s="7" customFormat="1" ht="13.5" customHeight="1"/>
    <row r="738" s="7" customFormat="1" ht="13.5" customHeight="1"/>
    <row r="739" s="7" customFormat="1" ht="13.5" customHeight="1"/>
    <row r="740" s="7" customFormat="1" ht="13.5" customHeight="1"/>
    <row r="741" s="7" customFormat="1" ht="13.5" customHeight="1"/>
    <row r="742" s="7" customFormat="1" ht="13.5" customHeight="1"/>
    <row r="743" s="7" customFormat="1" ht="13.5" customHeight="1"/>
    <row r="744" s="7" customFormat="1" ht="13.5" customHeight="1"/>
    <row r="745" s="7" customFormat="1" ht="13.5" customHeight="1"/>
    <row r="746" s="7" customFormat="1" ht="13.5" customHeight="1"/>
    <row r="747" s="7" customFormat="1" ht="13.5" customHeight="1"/>
    <row r="748" s="7" customFormat="1" ht="13.5" customHeight="1"/>
    <row r="749" s="7" customFormat="1" ht="13.5" customHeight="1"/>
    <row r="750" s="7" customFormat="1" ht="13.5" customHeight="1"/>
    <row r="751" s="7" customFormat="1" ht="13.5" customHeight="1"/>
    <row r="752" s="7" customFormat="1" ht="13.5" customHeight="1"/>
    <row r="753" s="7" customFormat="1" ht="13.5" customHeight="1"/>
    <row r="754" s="7" customFormat="1" ht="13.5" customHeight="1"/>
    <row r="755" s="7" customFormat="1" ht="13.5" customHeight="1"/>
    <row r="756" s="7" customFormat="1" ht="13.5" customHeight="1"/>
    <row r="757" s="7" customFormat="1" ht="13.5" customHeight="1"/>
    <row r="758" s="7" customFormat="1" ht="13.5" customHeight="1"/>
    <row r="759" s="7" customFormat="1" ht="13.5" customHeight="1"/>
    <row r="760" s="7" customFormat="1" ht="13.5" customHeight="1"/>
    <row r="761" s="7" customFormat="1" ht="13.5" customHeight="1"/>
    <row r="762" s="7" customFormat="1" ht="13.5" customHeight="1"/>
    <row r="763" s="7" customFormat="1" ht="13.5" customHeight="1"/>
    <row r="764" s="7" customFormat="1" ht="13.5" customHeight="1"/>
    <row r="765" s="7" customFormat="1" ht="13.5" customHeight="1"/>
    <row r="766" s="7" customFormat="1" ht="13.5" customHeight="1"/>
    <row r="767" s="7" customFormat="1" ht="13.5" customHeight="1"/>
    <row r="768" s="7" customFormat="1" ht="13.5" customHeight="1"/>
    <row r="769" s="7" customFormat="1" ht="13.5" customHeight="1"/>
    <row r="770" s="7" customFormat="1" ht="13.5" customHeight="1"/>
    <row r="771" s="7" customFormat="1" ht="13.5" customHeight="1"/>
    <row r="772" s="7" customFormat="1" ht="13.5" customHeight="1"/>
    <row r="773" s="7" customFormat="1" ht="13.5" customHeight="1"/>
    <row r="774" s="7" customFormat="1" ht="13.5" customHeight="1"/>
    <row r="775" s="7" customFormat="1" ht="13.5" customHeight="1"/>
    <row r="776" s="7" customFormat="1" ht="13.5" customHeight="1"/>
    <row r="777" s="7" customFormat="1" ht="13.5" customHeight="1"/>
    <row r="778" s="7" customFormat="1" ht="13.5" customHeight="1"/>
    <row r="779" s="7" customFormat="1" ht="13.5" customHeight="1"/>
    <row r="780" s="7" customFormat="1" ht="13.5" customHeight="1"/>
    <row r="781" s="7" customFormat="1" ht="13.5" customHeight="1"/>
    <row r="782" s="7" customFormat="1" ht="13.5" customHeight="1"/>
    <row r="783" s="7" customFormat="1" ht="13.5" customHeight="1"/>
    <row r="784" s="7" customFormat="1" ht="13.5" customHeight="1"/>
    <row r="785" s="7" customFormat="1" ht="13.5" customHeight="1"/>
    <row r="786" s="7" customFormat="1" ht="13.5" customHeight="1"/>
    <row r="787" s="7" customFormat="1" ht="13.5" customHeight="1"/>
    <row r="788" s="7" customFormat="1" ht="13.5" customHeight="1"/>
    <row r="789" s="7" customFormat="1" ht="13.5" customHeight="1"/>
    <row r="790" s="7" customFormat="1" ht="13.5" customHeight="1"/>
    <row r="791" s="7" customFormat="1" ht="13.5" customHeight="1"/>
    <row r="792" s="7" customFormat="1" ht="13.5" customHeight="1"/>
    <row r="793" s="7" customFormat="1" ht="13.5" customHeight="1"/>
    <row r="794" s="7" customFormat="1" ht="13.5" customHeight="1"/>
    <row r="795" s="7" customFormat="1" ht="13.5" customHeight="1"/>
    <row r="796" s="7" customFormat="1" ht="13.5" customHeight="1"/>
    <row r="797" s="7" customFormat="1" ht="13.5" customHeight="1"/>
    <row r="798" s="7" customFormat="1" ht="13.5" customHeight="1"/>
    <row r="799" s="7" customFormat="1" ht="13.5" customHeight="1"/>
    <row r="800" s="7" customFormat="1" ht="13.5" customHeight="1"/>
    <row r="801" s="7" customFormat="1" ht="13.5" customHeight="1"/>
    <row r="802" s="7" customFormat="1" ht="13.5" customHeight="1"/>
    <row r="803" s="7" customFormat="1" ht="13.5" customHeight="1"/>
    <row r="804" s="7" customFormat="1" ht="13.5" customHeight="1"/>
    <row r="805" s="7" customFormat="1" ht="13.5" customHeight="1"/>
    <row r="806" s="7" customFormat="1" ht="13.5" customHeight="1"/>
    <row r="807" s="7" customFormat="1" ht="13.5" customHeight="1"/>
    <row r="808" s="7" customFormat="1" ht="13.5" customHeight="1"/>
    <row r="809" s="7" customFormat="1" ht="13.5" customHeight="1"/>
    <row r="810" s="7" customFormat="1" ht="13.5" customHeight="1"/>
    <row r="811" s="7" customFormat="1" ht="13.5" customHeight="1"/>
    <row r="812" s="7" customFormat="1" ht="13.5" customHeight="1"/>
    <row r="813" s="7" customFormat="1" ht="13.5" customHeight="1"/>
    <row r="814" s="7" customFormat="1" ht="13.5" customHeight="1"/>
    <row r="815" s="7" customFormat="1" ht="13.5" customHeight="1"/>
    <row r="816" s="7" customFormat="1" ht="13.5" customHeight="1"/>
    <row r="817" s="7" customFormat="1" ht="13.5" customHeight="1"/>
    <row r="818" s="7" customFormat="1" ht="13.5" customHeight="1"/>
    <row r="819" s="7" customFormat="1" ht="13.5" customHeight="1"/>
    <row r="820" s="7" customFormat="1" ht="13.5" customHeight="1"/>
    <row r="821" s="7" customFormat="1" ht="13.5" customHeight="1"/>
    <row r="822" s="7" customFormat="1" ht="13.5" customHeight="1"/>
    <row r="823" s="7" customFormat="1" ht="13.5" customHeight="1"/>
    <row r="824" s="7" customFormat="1" ht="13.5" customHeight="1"/>
    <row r="825" s="7" customFormat="1" ht="13.5" customHeight="1"/>
    <row r="826" s="7" customFormat="1" ht="13.5" customHeight="1"/>
    <row r="827" s="7" customFormat="1" ht="13.5" customHeight="1"/>
    <row r="828" s="7" customFormat="1" ht="13.5" customHeight="1"/>
    <row r="829" s="7" customFormat="1" ht="13.5" customHeight="1"/>
    <row r="830" s="7" customFormat="1" ht="13.5" customHeight="1"/>
    <row r="831" s="7" customFormat="1" ht="13.5" customHeight="1"/>
    <row r="832" s="7" customFormat="1" ht="13.5" customHeight="1"/>
    <row r="833" s="7" customFormat="1" ht="13.5" customHeight="1"/>
    <row r="834" s="7" customFormat="1" ht="13.5" customHeight="1"/>
    <row r="835" s="7" customFormat="1" ht="13.5" customHeight="1"/>
    <row r="836" s="7" customFormat="1" ht="13.5" customHeight="1"/>
    <row r="837" s="7" customFormat="1" ht="13.5" customHeight="1"/>
    <row r="838" s="7" customFormat="1" ht="13.5" customHeight="1"/>
    <row r="839" s="7" customFormat="1" ht="13.5" customHeight="1"/>
    <row r="840" s="7" customFormat="1" ht="13.5" customHeight="1"/>
    <row r="841" s="7" customFormat="1" ht="13.5" customHeight="1"/>
    <row r="842" s="7" customFormat="1" ht="13.5" customHeight="1"/>
    <row r="843" s="7" customFormat="1" ht="13.5" customHeight="1"/>
    <row r="844" s="7" customFormat="1" ht="13.5" customHeight="1"/>
    <row r="845" s="7" customFormat="1" ht="13.5" customHeight="1"/>
    <row r="846" s="7" customFormat="1" ht="13.5" customHeight="1"/>
    <row r="847" s="7" customFormat="1" ht="13.5" customHeight="1"/>
    <row r="848" s="7" customFormat="1" ht="13.5" customHeight="1"/>
    <row r="849" s="7" customFormat="1" ht="13.5" customHeight="1"/>
    <row r="850" s="7" customFormat="1" ht="13.5" customHeight="1"/>
    <row r="851" s="7" customFormat="1" ht="13.5" customHeight="1"/>
    <row r="852" s="7" customFormat="1" ht="13.5" customHeight="1"/>
    <row r="853" s="7" customFormat="1" ht="13.5" customHeight="1"/>
    <row r="854" s="7" customFormat="1" ht="13.5" customHeight="1"/>
    <row r="855" s="7" customFormat="1" ht="13.5" customHeight="1"/>
    <row r="856" s="7" customFormat="1" ht="13.5" customHeight="1"/>
    <row r="857" s="7" customFormat="1" ht="13.5" customHeight="1"/>
    <row r="858" s="7" customFormat="1" ht="13.5" customHeight="1"/>
    <row r="859" s="7" customFormat="1" ht="13.5" customHeight="1"/>
    <row r="860" s="7" customFormat="1" ht="13.5" customHeight="1"/>
    <row r="861" s="7" customFormat="1" ht="13.5" customHeight="1"/>
    <row r="862" s="7" customFormat="1" ht="13.5" customHeight="1"/>
    <row r="863" s="7" customFormat="1" ht="13.5" customHeight="1"/>
    <row r="864" s="7" customFormat="1" ht="13.5" customHeight="1"/>
    <row r="865" s="7" customFormat="1" ht="13.5" customHeight="1"/>
    <row r="866" s="7" customFormat="1" ht="13.5" customHeight="1"/>
    <row r="867" s="7" customFormat="1" ht="13.5" customHeight="1"/>
    <row r="868" s="7" customFormat="1" ht="13.5" customHeight="1"/>
    <row r="869" s="7" customFormat="1" ht="13.5" customHeight="1"/>
    <row r="870" s="7" customFormat="1" ht="13.5" customHeight="1"/>
    <row r="871" s="7" customFormat="1" ht="13.5" customHeight="1"/>
    <row r="872" s="7" customFormat="1" ht="13.5" customHeight="1"/>
    <row r="873" s="7" customFormat="1" ht="13.5" customHeight="1"/>
    <row r="874" s="7" customFormat="1" ht="13.5" customHeight="1"/>
    <row r="875" s="7" customFormat="1" ht="13.5" customHeight="1"/>
    <row r="876" s="7" customFormat="1" ht="13.5" customHeight="1"/>
    <row r="877" s="7" customFormat="1" ht="13.5" customHeight="1"/>
    <row r="878" s="7" customFormat="1" ht="13.5" customHeight="1"/>
    <row r="879" s="7" customFormat="1" ht="13.5" customHeight="1"/>
    <row r="880" s="7" customFormat="1" ht="13.5" customHeight="1"/>
    <row r="881" s="7" customFormat="1" ht="13.5" customHeight="1"/>
    <row r="882" s="7" customFormat="1" ht="13.5" customHeight="1"/>
    <row r="883" s="7" customFormat="1" ht="13.5" customHeight="1"/>
    <row r="884" s="7" customFormat="1" ht="13.5" customHeight="1"/>
    <row r="885" s="7" customFormat="1" ht="13.5" customHeight="1"/>
    <row r="886" s="7" customFormat="1" ht="13.5" customHeight="1"/>
    <row r="887" s="7" customFormat="1" ht="13.5" customHeight="1"/>
    <row r="888" s="7" customFormat="1" ht="13.5" customHeight="1"/>
    <row r="889" s="7" customFormat="1" ht="13.5" customHeight="1"/>
    <row r="890" s="7" customFormat="1" ht="13.5" customHeight="1"/>
    <row r="891" s="7" customFormat="1" ht="13.5" customHeight="1"/>
    <row r="892" s="7" customFormat="1" ht="13.5" customHeight="1"/>
    <row r="893" s="7" customFormat="1" ht="13.5" customHeight="1"/>
    <row r="894" s="7" customFormat="1" ht="13.5" customHeight="1"/>
    <row r="895" s="7" customFormat="1" ht="13.5" customHeight="1"/>
    <row r="896" s="7" customFormat="1" ht="13.5" customHeight="1"/>
    <row r="897" s="7" customFormat="1" ht="13.5" customHeight="1"/>
    <row r="898" s="7" customFormat="1" ht="13.5" customHeight="1"/>
    <row r="899" s="7" customFormat="1" ht="13.5" customHeight="1"/>
    <row r="900" s="7" customFormat="1" ht="13.5" customHeight="1"/>
    <row r="901" s="7" customFormat="1" ht="13.5" customHeight="1"/>
    <row r="902" s="7" customFormat="1" ht="13.5" customHeight="1"/>
    <row r="903" s="7" customFormat="1" ht="13.5" customHeight="1"/>
    <row r="904" s="7" customFormat="1" ht="13.5" customHeight="1"/>
    <row r="905" s="7" customFormat="1" ht="13.5" customHeight="1"/>
    <row r="906" s="7" customFormat="1" ht="13.5" customHeight="1"/>
    <row r="907" s="7" customFormat="1" ht="13.5" customHeight="1"/>
    <row r="908" s="7" customFormat="1" ht="13.5" customHeight="1"/>
    <row r="909" s="7" customFormat="1" ht="13.5" customHeight="1"/>
    <row r="910" s="7" customFormat="1" ht="13.5" customHeight="1"/>
    <row r="911" s="7" customFormat="1" ht="13.5" customHeight="1"/>
    <row r="912" s="7" customFormat="1" ht="13.5" customHeight="1"/>
    <row r="913" s="7" customFormat="1" ht="13.5" customHeight="1"/>
    <row r="914" s="7" customFormat="1" ht="13.5" customHeight="1"/>
    <row r="915" s="7" customFormat="1" ht="13.5" customHeight="1"/>
    <row r="916" s="7" customFormat="1" ht="13.5" customHeight="1"/>
    <row r="917" s="7" customFormat="1" ht="13.5" customHeight="1"/>
    <row r="918" s="7" customFormat="1" ht="13.5" customHeight="1"/>
    <row r="919" s="7" customFormat="1" ht="13.5" customHeight="1"/>
    <row r="920" s="7" customFormat="1" ht="13.5" customHeight="1"/>
    <row r="921" s="7" customFormat="1" ht="13.5" customHeight="1"/>
    <row r="922" s="7" customFormat="1" ht="13.5" customHeight="1"/>
    <row r="923" s="7" customFormat="1" ht="13.5" customHeight="1"/>
    <row r="924" s="7" customFormat="1" ht="13.5" customHeight="1"/>
    <row r="925" s="7" customFormat="1" ht="13.5" customHeight="1"/>
    <row r="926" s="7" customFormat="1" ht="13.5" customHeight="1"/>
    <row r="927" s="7" customFormat="1" ht="13.5" customHeight="1"/>
    <row r="928" s="7" customFormat="1" ht="13.5" customHeight="1"/>
    <row r="929" s="7" customFormat="1" ht="13.5" customHeight="1"/>
    <row r="930" s="7" customFormat="1" ht="13.5" customHeight="1"/>
    <row r="931" s="7" customFormat="1" ht="13.5" customHeight="1"/>
    <row r="932" s="7" customFormat="1" ht="13.5" customHeight="1"/>
    <row r="933" s="7" customFormat="1" ht="13.5" customHeight="1"/>
    <row r="934" s="7" customFormat="1" ht="13.5" customHeight="1"/>
    <row r="935" s="7" customFormat="1" ht="13.5" customHeight="1"/>
    <row r="936" s="7" customFormat="1" ht="13.5" customHeight="1"/>
    <row r="937" s="7" customFormat="1" ht="13.5" customHeight="1"/>
    <row r="938" s="7" customFormat="1" ht="13.5" customHeight="1"/>
    <row r="939" s="7" customFormat="1" ht="13.5" customHeight="1"/>
    <row r="940" s="7" customFormat="1" ht="13.5" customHeight="1"/>
    <row r="941" s="7" customFormat="1" ht="13.5" customHeight="1"/>
    <row r="942" s="7" customFormat="1" ht="13.5" customHeight="1"/>
    <row r="943" s="7" customFormat="1" ht="13.5" customHeight="1"/>
    <row r="944" s="7" customFormat="1" ht="13.5" customHeight="1"/>
    <row r="945" s="7" customFormat="1" ht="13.5" customHeight="1"/>
    <row r="946" s="7" customFormat="1" ht="13.5" customHeight="1"/>
    <row r="947" s="7" customFormat="1" ht="13.5" customHeight="1"/>
    <row r="948" s="7" customFormat="1" ht="13.5" customHeight="1"/>
    <row r="949" s="7" customFormat="1" ht="13.5" customHeight="1"/>
    <row r="950" s="7" customFormat="1" ht="13.5" customHeight="1"/>
    <row r="951" s="7" customFormat="1" ht="13.5" customHeight="1"/>
    <row r="952" s="7" customFormat="1" ht="13.5" customHeight="1"/>
    <row r="953" s="7" customFormat="1" ht="13.5" customHeight="1"/>
    <row r="954" s="7" customFormat="1" ht="13.5" customHeight="1"/>
    <row r="955" s="7" customFormat="1" ht="13.5" customHeight="1"/>
    <row r="956" s="7" customFormat="1" ht="13.5" customHeight="1"/>
    <row r="957" s="7" customFormat="1" ht="13.5" customHeight="1"/>
    <row r="958" s="7" customFormat="1" ht="13.5" customHeight="1"/>
    <row r="959" s="7" customFormat="1" ht="13.5" customHeight="1"/>
    <row r="960" s="7" customFormat="1" ht="13.5" customHeight="1"/>
    <row r="961" s="7" customFormat="1" ht="13.5" customHeight="1"/>
    <row r="962" s="7" customFormat="1" ht="13.5" customHeight="1"/>
    <row r="963" s="7" customFormat="1" ht="13.5" customHeight="1"/>
    <row r="964" s="7" customFormat="1" ht="13.5" customHeight="1"/>
    <row r="965" s="7" customFormat="1" ht="13.5" customHeight="1"/>
    <row r="966" s="7" customFormat="1" ht="13.5" customHeight="1"/>
    <row r="967" s="7" customFormat="1" ht="13.5" customHeight="1"/>
    <row r="968" s="7" customFormat="1" ht="13.5" customHeight="1"/>
    <row r="969" s="7" customFormat="1" ht="13.5" customHeight="1"/>
    <row r="970" s="7" customFormat="1" ht="13.5" customHeight="1"/>
    <row r="971" s="7" customFormat="1" ht="13.5" customHeight="1"/>
    <row r="972" s="7" customFormat="1" ht="13.5" customHeight="1"/>
    <row r="973" s="7" customFormat="1" ht="13.5" customHeight="1"/>
    <row r="974" s="7" customFormat="1" ht="13.5" customHeight="1"/>
    <row r="975" s="7" customFormat="1" ht="13.5" customHeight="1"/>
    <row r="976" s="7" customFormat="1" ht="13.5" customHeight="1"/>
    <row r="977" s="7" customFormat="1" ht="13.5" customHeight="1"/>
    <row r="978" s="7" customFormat="1" ht="13.5" customHeight="1"/>
    <row r="979" s="7" customFormat="1" ht="13.5" customHeight="1"/>
    <row r="980" s="7" customFormat="1" ht="13.5" customHeight="1"/>
    <row r="981" s="7" customFormat="1" ht="13.5" customHeight="1"/>
    <row r="982" s="7" customFormat="1" ht="13.5" customHeight="1"/>
    <row r="983" s="7" customFormat="1" ht="13.5" customHeight="1"/>
    <row r="984" s="7" customFormat="1" ht="13.5" customHeight="1"/>
    <row r="985" s="7" customFormat="1" ht="13.5" customHeight="1"/>
    <row r="986" s="7" customFormat="1" ht="13.5" customHeight="1"/>
    <row r="987" s="7" customFormat="1" ht="13.5" customHeight="1"/>
    <row r="988" s="7" customFormat="1" ht="13.5" customHeight="1"/>
    <row r="989" s="7" customFormat="1" ht="13.5" customHeight="1"/>
    <row r="990" s="7" customFormat="1" ht="13.5" customHeight="1"/>
    <row r="991" s="7" customFormat="1" ht="13.5" customHeight="1"/>
    <row r="992" s="7" customFormat="1" ht="13.5" customHeight="1"/>
    <row r="993" s="7" customFormat="1" ht="13.5" customHeight="1"/>
    <row r="994" s="7" customFormat="1" ht="13.5" customHeight="1"/>
    <row r="995" s="7" customFormat="1" ht="13.5" customHeight="1"/>
    <row r="996" s="7" customFormat="1" ht="13.5" customHeight="1"/>
    <row r="997" s="7" customFormat="1" ht="13.5" customHeight="1"/>
    <row r="998" s="7" customFormat="1" ht="13.5" customHeight="1"/>
    <row r="999" s="7" customFormat="1" ht="13.5" customHeight="1"/>
    <row r="1000" s="7" customFormat="1" ht="13.5" customHeight="1"/>
    <row r="1001" s="7" customFormat="1" ht="13.5" customHeight="1"/>
  </sheetData>
  <mergeCells count="1">
    <mergeCell ref="A1:H1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showGridLines="0" tabSelected="1" topLeftCell="A41" workbookViewId="0">
      <selection activeCell="A47" sqref="A47:XFD53"/>
    </sheetView>
  </sheetViews>
  <sheetFormatPr defaultColWidth="12.6640625" defaultRowHeight="15" customHeight="1"/>
  <cols>
    <col min="1" max="1" width="48.4140625" style="7" customWidth="1"/>
    <col min="2" max="2" width="13.6640625" style="7" customWidth="1"/>
    <col min="3" max="3" width="14.6640625" style="7" customWidth="1"/>
    <col min="4" max="6" width="13.4140625" style="7" customWidth="1"/>
    <col min="7" max="8" width="13.1640625" style="7" customWidth="1"/>
    <col min="9" max="9" width="11.75" style="7" customWidth="1"/>
    <col min="10" max="10" width="12.75" style="7" customWidth="1"/>
    <col min="11" max="11" width="11.9140625" style="7" customWidth="1"/>
    <col min="12" max="26" width="8.6640625" style="7" customWidth="1"/>
    <col min="27" max="16384" width="12.6640625" style="7"/>
  </cols>
  <sheetData>
    <row r="1" spans="1:26" s="373" customFormat="1" ht="13.5" customHeight="1">
      <c r="A1" s="374" t="s">
        <v>428</v>
      </c>
      <c r="B1" s="374"/>
      <c r="C1" s="374"/>
      <c r="D1" s="374"/>
      <c r="E1" s="225"/>
      <c r="F1" s="225"/>
      <c r="G1" s="225"/>
      <c r="H1" s="225"/>
    </row>
    <row r="2" spans="1:26" s="373" customFormat="1" ht="13.5" customHeight="1">
      <c r="A2" s="457"/>
      <c r="B2" s="423"/>
      <c r="C2" s="423"/>
      <c r="D2" s="423"/>
      <c r="E2" s="392"/>
      <c r="F2" s="392"/>
      <c r="G2" s="392"/>
      <c r="K2" s="470" t="s">
        <v>1</v>
      </c>
    </row>
    <row r="3" spans="1:26" ht="13.5" customHeight="1">
      <c r="A3" s="30"/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2" t="s">
        <v>7</v>
      </c>
      <c r="H3" s="31" t="s">
        <v>8</v>
      </c>
      <c r="I3" s="31" t="s">
        <v>9</v>
      </c>
      <c r="J3" s="31" t="s">
        <v>10</v>
      </c>
      <c r="K3" s="32" t="s">
        <v>466</v>
      </c>
    </row>
    <row r="4" spans="1:26" ht="13.5" customHeight="1">
      <c r="A4" s="33" t="s">
        <v>429</v>
      </c>
      <c r="B4" s="34">
        <v>1512828.19</v>
      </c>
      <c r="C4" s="34">
        <v>1661784.65</v>
      </c>
      <c r="D4" s="34">
        <v>1804761.93</v>
      </c>
      <c r="E4" s="34">
        <v>2042968.98</v>
      </c>
      <c r="F4" s="34">
        <v>2255535.29</v>
      </c>
      <c r="G4" s="34">
        <v>2136333.69</v>
      </c>
      <c r="H4" s="34">
        <v>2677082.81</v>
      </c>
      <c r="I4" s="34">
        <v>3251350.61</v>
      </c>
      <c r="J4" s="34">
        <v>3435389.1465949002</v>
      </c>
      <c r="K4" s="34">
        <v>3706920.967789846</v>
      </c>
    </row>
    <row r="5" spans="1:26" ht="13.5" customHeight="1">
      <c r="A5" s="35" t="s">
        <v>430</v>
      </c>
      <c r="B5" s="36">
        <v>1147236.0900000001</v>
      </c>
      <c r="C5" s="36">
        <v>1286814.8899999999</v>
      </c>
      <c r="D5" s="36">
        <v>1350988.58</v>
      </c>
      <c r="E5" s="36">
        <v>1557817.34</v>
      </c>
      <c r="F5" s="36">
        <v>1468680.81</v>
      </c>
      <c r="G5" s="36">
        <v>1640468.84</v>
      </c>
      <c r="H5" s="36">
        <v>1980053.47</v>
      </c>
      <c r="I5" s="36">
        <v>2065002.71</v>
      </c>
      <c r="J5" s="36">
        <v>2280858.29</v>
      </c>
      <c r="K5" s="36">
        <v>2314586.3103114497</v>
      </c>
    </row>
    <row r="6" spans="1:26" ht="13.5" customHeight="1">
      <c r="A6" s="35" t="s">
        <v>431</v>
      </c>
      <c r="B6" s="36">
        <v>41551.71</v>
      </c>
      <c r="C6" s="36">
        <v>45704.32</v>
      </c>
      <c r="D6" s="36">
        <v>55354.32</v>
      </c>
      <c r="E6" s="36">
        <v>15558.25</v>
      </c>
      <c r="F6" s="36">
        <v>41585.660000000003</v>
      </c>
      <c r="G6" s="36">
        <v>40534.01</v>
      </c>
      <c r="H6" s="36">
        <v>94896.31</v>
      </c>
      <c r="I6" s="36">
        <v>174258.29</v>
      </c>
      <c r="J6" s="36">
        <v>122367.222079</v>
      </c>
      <c r="K6" s="36">
        <v>142001.41100401001</v>
      </c>
    </row>
    <row r="7" spans="1:26" ht="13.5" customHeight="1">
      <c r="A7" s="37" t="s">
        <v>432</v>
      </c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26" ht="15" customHeight="1">
      <c r="A8" s="35" t="s">
        <v>433</v>
      </c>
      <c r="B8" s="36">
        <v>29596.68</v>
      </c>
      <c r="C8" s="36">
        <v>25903.99</v>
      </c>
      <c r="D8" s="36">
        <v>27600.14</v>
      </c>
      <c r="E8" s="36">
        <v>47483</v>
      </c>
      <c r="F8" s="36">
        <v>19819.740000000002</v>
      </c>
      <c r="G8" s="36">
        <v>31320.43</v>
      </c>
      <c r="H8" s="36">
        <v>31031.15</v>
      </c>
      <c r="I8" s="36">
        <v>23083.47</v>
      </c>
      <c r="J8" s="36">
        <v>23083.473745840001</v>
      </c>
      <c r="K8" s="36">
        <v>33320.314506933995</v>
      </c>
    </row>
    <row r="9" spans="1:26" ht="13.5" customHeight="1">
      <c r="A9" s="38" t="s">
        <v>434</v>
      </c>
      <c r="B9" s="39">
        <v>294443.71000000002</v>
      </c>
      <c r="C9" s="39">
        <v>303361.46000000002</v>
      </c>
      <c r="D9" s="39">
        <v>370818.89</v>
      </c>
      <c r="E9" s="39">
        <v>422110.39</v>
      </c>
      <c r="F9" s="39">
        <v>725449.07</v>
      </c>
      <c r="G9" s="39">
        <v>424010.41</v>
      </c>
      <c r="H9" s="39">
        <v>571101.87</v>
      </c>
      <c r="I9" s="39">
        <v>989006.14</v>
      </c>
      <c r="J9" s="39">
        <v>1009080.16077006</v>
      </c>
      <c r="K9" s="39">
        <v>1217012.9319674522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3.5" customHeight="1">
      <c r="A10" s="35" t="s">
        <v>435</v>
      </c>
      <c r="B10" s="36">
        <v>119079.23</v>
      </c>
      <c r="C10" s="36">
        <v>122583.6</v>
      </c>
      <c r="D10" s="36">
        <v>122292.96</v>
      </c>
      <c r="E10" s="36">
        <v>230556.31</v>
      </c>
      <c r="F10" s="36">
        <v>328108.53999999998</v>
      </c>
      <c r="G10" s="36">
        <v>173194.43</v>
      </c>
      <c r="H10" s="36">
        <v>180112.48</v>
      </c>
      <c r="I10" s="36">
        <v>659641.06999999995</v>
      </c>
      <c r="J10" s="36">
        <v>487193.48956810997</v>
      </c>
      <c r="K10" s="36">
        <v>523744.90694380261</v>
      </c>
    </row>
    <row r="11" spans="1:26" ht="13.5" customHeight="1">
      <c r="A11" s="35" t="s">
        <v>436</v>
      </c>
      <c r="B11" s="36">
        <v>45873.89</v>
      </c>
      <c r="C11" s="36">
        <v>53892.51</v>
      </c>
      <c r="D11" s="36">
        <v>52965.75</v>
      </c>
      <c r="E11" s="36">
        <v>43445.919999999998</v>
      </c>
      <c r="F11" s="36">
        <v>162916.31</v>
      </c>
      <c r="G11" s="36">
        <v>84562.23</v>
      </c>
      <c r="H11" s="36">
        <v>84147.71</v>
      </c>
      <c r="I11" s="36">
        <v>114699.94</v>
      </c>
      <c r="J11" s="36">
        <v>207119.96748795002</v>
      </c>
      <c r="K11" s="36">
        <v>208579.40981050616</v>
      </c>
    </row>
    <row r="12" spans="1:26" ht="13.5" customHeight="1">
      <c r="A12" s="35" t="s">
        <v>467</v>
      </c>
      <c r="B12" s="36">
        <v>62398.11</v>
      </c>
      <c r="C12" s="36">
        <v>75881.13</v>
      </c>
      <c r="D12" s="36">
        <v>139056.53</v>
      </c>
      <c r="E12" s="36">
        <v>99379.85</v>
      </c>
      <c r="F12" s="36">
        <v>33824.81</v>
      </c>
      <c r="G12" s="36">
        <v>0</v>
      </c>
      <c r="H12" s="36">
        <v>30279.43</v>
      </c>
      <c r="I12" s="36">
        <v>21445.58</v>
      </c>
      <c r="J12" s="36">
        <v>38319.68</v>
      </c>
      <c r="K12" s="36">
        <v>464605.00524735008</v>
      </c>
    </row>
    <row r="13" spans="1:26" ht="13.5" customHeight="1">
      <c r="A13" s="35" t="s">
        <v>437</v>
      </c>
      <c r="B13" s="36">
        <v>12443.68</v>
      </c>
      <c r="C13" s="36">
        <v>17555.259999999998</v>
      </c>
      <c r="D13" s="36">
        <v>18414.57</v>
      </c>
      <c r="E13" s="36">
        <v>3018.68</v>
      </c>
      <c r="F13" s="36">
        <v>2228.19</v>
      </c>
      <c r="G13" s="36">
        <v>2292</v>
      </c>
      <c r="H13" s="36">
        <v>2907.43</v>
      </c>
      <c r="I13" s="36">
        <v>2648.22</v>
      </c>
      <c r="J13" s="36">
        <v>3185.22</v>
      </c>
      <c r="K13" s="36">
        <v>2869.710894143212</v>
      </c>
    </row>
    <row r="14" spans="1:26" ht="13.5" customHeight="1">
      <c r="A14" s="35" t="s">
        <v>438</v>
      </c>
      <c r="B14" s="36">
        <v>54648.79</v>
      </c>
      <c r="C14" s="36">
        <v>33448.97</v>
      </c>
      <c r="D14" s="36">
        <v>38089.08</v>
      </c>
      <c r="E14" s="36">
        <v>45709.63</v>
      </c>
      <c r="F14" s="36">
        <v>198371.22</v>
      </c>
      <c r="G14" s="36">
        <v>163961.75</v>
      </c>
      <c r="H14" s="36">
        <v>273654.83</v>
      </c>
      <c r="I14" s="36">
        <v>190571.33</v>
      </c>
      <c r="J14" s="36">
        <v>273261.80371400004</v>
      </c>
      <c r="K14" s="36">
        <v>17213.899071650001</v>
      </c>
    </row>
    <row r="15" spans="1:26" ht="13.5" customHeight="1">
      <c r="A15" s="33" t="s">
        <v>439</v>
      </c>
      <c r="B15" s="41">
        <v>1426498.36</v>
      </c>
      <c r="C15" s="41">
        <v>1578274.92</v>
      </c>
      <c r="D15" s="41">
        <v>1800999.47</v>
      </c>
      <c r="E15" s="41">
        <v>2213109.0499999998</v>
      </c>
      <c r="F15" s="41">
        <v>2765765.67</v>
      </c>
      <c r="G15" s="42">
        <v>2723447.76</v>
      </c>
      <c r="H15" s="41">
        <v>3134910.0484340042</v>
      </c>
      <c r="I15" s="41">
        <v>3554551.72</v>
      </c>
      <c r="J15" s="41">
        <v>3741585.5506936098</v>
      </c>
      <c r="K15" s="42">
        <v>4218116.1458503045</v>
      </c>
    </row>
    <row r="16" spans="1:26" ht="13.5" customHeight="1">
      <c r="A16" s="35" t="s">
        <v>440</v>
      </c>
      <c r="B16" s="43">
        <v>622268.55000000005</v>
      </c>
      <c r="C16" s="43">
        <v>670762.19999999995</v>
      </c>
      <c r="D16" s="43">
        <v>784526.08</v>
      </c>
      <c r="E16" s="43">
        <v>851682.87</v>
      </c>
      <c r="F16" s="43">
        <v>944890.07</v>
      </c>
      <c r="G16" s="36">
        <v>816190.81</v>
      </c>
      <c r="H16" s="43">
        <v>877375.76072012994</v>
      </c>
      <c r="I16" s="43">
        <v>930906.96</v>
      </c>
      <c r="J16" s="43">
        <v>940859.76355805004</v>
      </c>
      <c r="K16" s="36">
        <v>1038938.1674945299</v>
      </c>
    </row>
    <row r="17" spans="1:11" ht="13.5" customHeight="1">
      <c r="A17" s="35" t="s">
        <v>386</v>
      </c>
      <c r="B17" s="43">
        <v>415166.74</v>
      </c>
      <c r="C17" s="43">
        <v>408853.15</v>
      </c>
      <c r="D17" s="43">
        <v>439545.94</v>
      </c>
      <c r="E17" s="43">
        <v>348579.16</v>
      </c>
      <c r="F17" s="43">
        <v>578720.15</v>
      </c>
      <c r="G17" s="36">
        <v>630599.99</v>
      </c>
      <c r="H17" s="43">
        <v>934262.27</v>
      </c>
      <c r="I17" s="43">
        <v>1271890.77</v>
      </c>
      <c r="J17" s="43">
        <v>940903.43361151998</v>
      </c>
      <c r="K17" s="36">
        <v>958344.90442216967</v>
      </c>
    </row>
    <row r="18" spans="1:11" ht="13.5" customHeight="1">
      <c r="A18" s="35" t="s">
        <v>441</v>
      </c>
      <c r="B18" s="43">
        <v>13914.36</v>
      </c>
      <c r="C18" s="43">
        <v>14537.86</v>
      </c>
      <c r="D18" s="43">
        <v>15029.16</v>
      </c>
      <c r="E18" s="43">
        <v>17455.53</v>
      </c>
      <c r="F18" s="43">
        <v>39665.51</v>
      </c>
      <c r="G18" s="36">
        <v>17770.7</v>
      </c>
      <c r="H18" s="43">
        <v>20763.37</v>
      </c>
      <c r="I18" s="43">
        <v>65929.009999999995</v>
      </c>
      <c r="J18" s="43">
        <v>18716.783772890005</v>
      </c>
      <c r="K18" s="36">
        <v>11497.326407295001</v>
      </c>
    </row>
    <row r="19" spans="1:11" ht="13.5" customHeight="1">
      <c r="A19" s="35" t="s">
        <v>401</v>
      </c>
      <c r="B19" s="43">
        <v>225287.27</v>
      </c>
      <c r="C19" s="43">
        <v>243616.09</v>
      </c>
      <c r="D19" s="43">
        <v>329429.36</v>
      </c>
      <c r="E19" s="43">
        <v>382705.62</v>
      </c>
      <c r="F19" s="43">
        <v>451240.63</v>
      </c>
      <c r="G19" s="36">
        <v>495694.95</v>
      </c>
      <c r="H19" s="43">
        <v>585791.24</v>
      </c>
      <c r="I19" s="43">
        <v>692430.62</v>
      </c>
      <c r="J19" s="43">
        <v>843607.45993975003</v>
      </c>
      <c r="K19" s="36">
        <v>1005746.59685085</v>
      </c>
    </row>
    <row r="20" spans="1:11" ht="13.5" customHeight="1">
      <c r="A20" s="35" t="s">
        <v>400</v>
      </c>
      <c r="B20" s="43">
        <v>42568.02</v>
      </c>
      <c r="C20" s="43">
        <v>53950.42</v>
      </c>
      <c r="D20" s="43">
        <v>64547.92</v>
      </c>
      <c r="E20" s="43">
        <v>61259.19</v>
      </c>
      <c r="F20" s="43">
        <v>62191.59</v>
      </c>
      <c r="G20" s="36">
        <v>4941.13</v>
      </c>
      <c r="H20" s="43">
        <v>81496.25</v>
      </c>
      <c r="I20" s="43">
        <v>67514.23</v>
      </c>
      <c r="J20" s="43">
        <v>47640.76</v>
      </c>
      <c r="K20" s="36">
        <v>14228.528400649999</v>
      </c>
    </row>
    <row r="21" spans="1:11" ht="13.5" customHeight="1">
      <c r="A21" s="37" t="s">
        <v>432</v>
      </c>
      <c r="B21" s="43"/>
      <c r="C21" s="43"/>
      <c r="D21" s="43"/>
      <c r="E21" s="43"/>
      <c r="F21" s="43"/>
      <c r="G21" s="36"/>
      <c r="H21" s="43"/>
      <c r="I21" s="43"/>
      <c r="J21" s="43">
        <v>0</v>
      </c>
      <c r="K21" s="36">
        <v>0</v>
      </c>
    </row>
    <row r="22" spans="1:11" ht="13.5" customHeight="1">
      <c r="A22" s="35" t="s">
        <v>442</v>
      </c>
      <c r="B22" s="43">
        <v>2744.44</v>
      </c>
      <c r="C22" s="43">
        <v>2619.73</v>
      </c>
      <c r="D22" s="43">
        <v>3517.71</v>
      </c>
      <c r="E22" s="43">
        <v>3858.25</v>
      </c>
      <c r="F22" s="43">
        <v>13868.02</v>
      </c>
      <c r="G22" s="36">
        <v>6018.42</v>
      </c>
      <c r="H22" s="43">
        <v>4772.91</v>
      </c>
      <c r="I22" s="43">
        <v>4436.91</v>
      </c>
      <c r="J22" s="43">
        <v>8223.5499999999993</v>
      </c>
      <c r="K22" s="36">
        <v>6445.5013632500004</v>
      </c>
    </row>
    <row r="23" spans="1:11" ht="13.5" customHeight="1">
      <c r="A23" s="35" t="s">
        <v>443</v>
      </c>
      <c r="B23" s="43">
        <v>0</v>
      </c>
      <c r="C23" s="43">
        <v>0</v>
      </c>
      <c r="D23" s="43">
        <v>0</v>
      </c>
      <c r="E23" s="43">
        <v>0</v>
      </c>
      <c r="F23" s="43">
        <v>0</v>
      </c>
      <c r="G23" s="36">
        <v>0</v>
      </c>
      <c r="H23" s="43">
        <v>0</v>
      </c>
      <c r="I23" s="43">
        <v>0</v>
      </c>
      <c r="J23" s="43">
        <v>389521.92671199993</v>
      </c>
      <c r="K23" s="36">
        <v>360534.48500499985</v>
      </c>
    </row>
    <row r="24" spans="1:11" ht="13.5" customHeight="1">
      <c r="A24" s="35" t="s">
        <v>444</v>
      </c>
      <c r="B24" s="43">
        <v>87974.91</v>
      </c>
      <c r="C24" s="43">
        <v>104527.19</v>
      </c>
      <c r="D24" s="43">
        <v>117296.33</v>
      </c>
      <c r="E24" s="43">
        <v>136476.37</v>
      </c>
      <c r="F24" s="43">
        <v>98832.22</v>
      </c>
      <c r="G24" s="36">
        <v>166285.78</v>
      </c>
      <c r="H24" s="43">
        <v>233906.34</v>
      </c>
      <c r="I24" s="43">
        <v>167025.74</v>
      </c>
      <c r="J24" s="43">
        <v>180262.39662299998</v>
      </c>
      <c r="K24" s="36">
        <v>176949.94897130999</v>
      </c>
    </row>
    <row r="25" spans="1:11" ht="13.5" customHeight="1">
      <c r="A25" s="35" t="s">
        <v>445</v>
      </c>
      <c r="B25" s="43">
        <v>16574.080000000002</v>
      </c>
      <c r="C25" s="43">
        <v>79408.289999999994</v>
      </c>
      <c r="D25" s="43">
        <v>47106.97</v>
      </c>
      <c r="E25" s="43">
        <v>411092.05</v>
      </c>
      <c r="F25" s="43">
        <v>576357.44999999995</v>
      </c>
      <c r="G25" s="36">
        <v>585945.97</v>
      </c>
      <c r="H25" s="43">
        <v>396541.89996484632</v>
      </c>
      <c r="I25" s="43">
        <v>354417.49</v>
      </c>
      <c r="J25" s="43">
        <v>371849.4764764001</v>
      </c>
      <c r="K25" s="36">
        <v>645430.68693525065</v>
      </c>
    </row>
    <row r="26" spans="1:11" ht="13.5" customHeight="1">
      <c r="A26" s="30" t="s">
        <v>446</v>
      </c>
      <c r="B26" s="44">
        <v>86329.82</v>
      </c>
      <c r="C26" s="44">
        <v>83509.73</v>
      </c>
      <c r="D26" s="44">
        <v>3762.46</v>
      </c>
      <c r="E26" s="44">
        <v>-170140.07</v>
      </c>
      <c r="F26" s="44">
        <v>-510230.38</v>
      </c>
      <c r="G26" s="44">
        <v>-587114.06999999995</v>
      </c>
      <c r="H26" s="44">
        <v>-457827.23843400413</v>
      </c>
      <c r="I26" s="44">
        <v>-303201.12</v>
      </c>
      <c r="J26" s="44">
        <v>-306196.40409870958</v>
      </c>
      <c r="K26" s="44">
        <v>-511195.17806045851</v>
      </c>
    </row>
    <row r="27" spans="1:11" ht="13.5" customHeight="1">
      <c r="A27" s="45" t="s">
        <v>447</v>
      </c>
      <c r="B27" s="41">
        <v>405355.54</v>
      </c>
      <c r="C27" s="41">
        <v>421070.3</v>
      </c>
      <c r="D27" s="41">
        <v>378082.48</v>
      </c>
      <c r="E27" s="41">
        <v>477674.91</v>
      </c>
      <c r="F27" s="41">
        <v>361676.59</v>
      </c>
      <c r="G27" s="42">
        <v>431163.24</v>
      </c>
      <c r="H27" s="41">
        <v>235500.35</v>
      </c>
      <c r="I27" s="41">
        <v>269551.26</v>
      </c>
      <c r="J27" s="41">
        <v>311522.67467045994</v>
      </c>
      <c r="K27" s="42">
        <v>385605.10244158999</v>
      </c>
    </row>
    <row r="28" spans="1:11" ht="13.5" customHeight="1">
      <c r="A28" s="35" t="s">
        <v>448</v>
      </c>
      <c r="B28" s="43">
        <v>399957.63</v>
      </c>
      <c r="C28" s="43">
        <v>425753.35</v>
      </c>
      <c r="D28" s="43">
        <v>373873.01</v>
      </c>
      <c r="E28" s="43">
        <v>522107.19</v>
      </c>
      <c r="F28" s="43">
        <v>381878.24</v>
      </c>
      <c r="G28" s="46">
        <v>463187.48</v>
      </c>
      <c r="H28" s="43">
        <v>251193.8</v>
      </c>
      <c r="I28" s="43">
        <v>321933.37</v>
      </c>
      <c r="J28" s="43">
        <v>290061.72674845997</v>
      </c>
      <c r="K28" s="46">
        <v>357000.27280959999</v>
      </c>
    </row>
    <row r="29" spans="1:11" ht="13.5" customHeight="1">
      <c r="A29" s="35" t="s">
        <v>449</v>
      </c>
      <c r="B29" s="43">
        <v>6185.47</v>
      </c>
      <c r="C29" s="43">
        <v>7630.78</v>
      </c>
      <c r="D29" s="43">
        <v>12636.56</v>
      </c>
      <c r="E29" s="43">
        <v>10567.26</v>
      </c>
      <c r="F29" s="43">
        <v>2306.88</v>
      </c>
      <c r="G29" s="46">
        <v>7483.86</v>
      </c>
      <c r="H29" s="43">
        <v>2007.49</v>
      </c>
      <c r="I29" s="43">
        <v>2772.79</v>
      </c>
      <c r="J29" s="43">
        <v>3731.1060270000003</v>
      </c>
      <c r="K29" s="46">
        <v>4873.69451725</v>
      </c>
    </row>
    <row r="30" spans="1:11" ht="13.5" customHeight="1">
      <c r="A30" s="35" t="s">
        <v>450</v>
      </c>
      <c r="B30" s="43">
        <v>18381.650000000001</v>
      </c>
      <c r="C30" s="43">
        <v>10452.73</v>
      </c>
      <c r="D30" s="43">
        <v>9380.32</v>
      </c>
      <c r="E30" s="43">
        <v>10684.18</v>
      </c>
      <c r="F30" s="43">
        <v>64035.58</v>
      </c>
      <c r="G30" s="46">
        <v>-18532.060000000001</v>
      </c>
      <c r="H30" s="43">
        <v>7292.36</v>
      </c>
      <c r="I30" s="43">
        <v>11780</v>
      </c>
      <c r="J30" s="43">
        <v>23887.403478999997</v>
      </c>
      <c r="K30" s="46">
        <v>30183.768923339998</v>
      </c>
    </row>
    <row r="31" spans="1:11" ht="13.5" customHeight="1">
      <c r="A31" s="35" t="s">
        <v>451</v>
      </c>
      <c r="B31" s="43">
        <v>-19169.21</v>
      </c>
      <c r="C31" s="43">
        <v>-22766.560000000001</v>
      </c>
      <c r="D31" s="43">
        <v>-17807.400000000001</v>
      </c>
      <c r="E31" s="43">
        <v>-65683.72</v>
      </c>
      <c r="F31" s="43">
        <v>-86544.11</v>
      </c>
      <c r="G31" s="46">
        <v>-20976.04</v>
      </c>
      <c r="H31" s="43">
        <v>-24993.3</v>
      </c>
      <c r="I31" s="43">
        <v>-66934.899999999994</v>
      </c>
      <c r="J31" s="43">
        <v>-6157.561584</v>
      </c>
      <c r="K31" s="46">
        <v>-6452.6338086000005</v>
      </c>
    </row>
    <row r="32" spans="1:11" ht="13.5" customHeight="1">
      <c r="A32" s="47" t="s">
        <v>452</v>
      </c>
      <c r="B32" s="44">
        <v>-319025.71000000002</v>
      </c>
      <c r="C32" s="44">
        <v>-337560.58</v>
      </c>
      <c r="D32" s="44">
        <v>-374320.02</v>
      </c>
      <c r="E32" s="44">
        <v>-647814.98</v>
      </c>
      <c r="F32" s="44">
        <v>-1139116.01</v>
      </c>
      <c r="G32" s="44">
        <v>-1018277.31</v>
      </c>
      <c r="H32" s="44">
        <v>-693327.58843400411</v>
      </c>
      <c r="I32" s="44">
        <v>-572752.38</v>
      </c>
      <c r="J32" s="44">
        <v>-617719.07876916951</v>
      </c>
      <c r="K32" s="44">
        <v>-896800.28050204855</v>
      </c>
    </row>
    <row r="33" spans="1:11" ht="13.5" customHeight="1">
      <c r="A33" s="48" t="s">
        <v>453</v>
      </c>
      <c r="B33" s="44">
        <v>-436194.06</v>
      </c>
      <c r="C33" s="44">
        <v>-693548.49</v>
      </c>
      <c r="D33" s="44">
        <v>-683734.29</v>
      </c>
      <c r="E33" s="44">
        <v>-706009.45</v>
      </c>
      <c r="F33" s="44">
        <v>-328279.84999999998</v>
      </c>
      <c r="G33" s="44">
        <v>-1102364.1499999999</v>
      </c>
      <c r="H33" s="44">
        <v>-4160744.27</v>
      </c>
      <c r="I33" s="44">
        <v>-587156.04</v>
      </c>
      <c r="J33" s="44">
        <v>-717616.90181699139</v>
      </c>
      <c r="K33" s="44">
        <v>-1192129.4524364579</v>
      </c>
    </row>
    <row r="34" spans="1:11" ht="13.5" customHeight="1">
      <c r="A34" s="45" t="s">
        <v>454</v>
      </c>
      <c r="B34" s="39">
        <v>264618.14</v>
      </c>
      <c r="C34" s="39">
        <v>269299.28999999998</v>
      </c>
      <c r="D34" s="39">
        <v>298035.90000000002</v>
      </c>
      <c r="E34" s="39">
        <v>310539.64</v>
      </c>
      <c r="F34" s="39">
        <v>457817.15</v>
      </c>
      <c r="G34" s="39">
        <v>66144.61</v>
      </c>
      <c r="H34" s="39">
        <v>349830.96741304861</v>
      </c>
      <c r="I34" s="39">
        <v>581090.56000000006</v>
      </c>
      <c r="J34" s="39">
        <v>512392.02265547472</v>
      </c>
      <c r="K34" s="39">
        <v>335186.93121242995</v>
      </c>
    </row>
    <row r="35" spans="1:11" ht="13.5" customHeight="1">
      <c r="A35" s="35" t="s">
        <v>455</v>
      </c>
      <c r="B35" s="36">
        <v>189861.24</v>
      </c>
      <c r="C35" s="36">
        <v>47199.76</v>
      </c>
      <c r="D35" s="36">
        <v>105712.4</v>
      </c>
      <c r="E35" s="36">
        <v>-67330.039999999994</v>
      </c>
      <c r="F35" s="36">
        <v>-67330.039999999994</v>
      </c>
      <c r="G35" s="36">
        <v>-146546.54999999999</v>
      </c>
      <c r="H35" s="36">
        <v>78048.467413048638</v>
      </c>
      <c r="I35" s="36">
        <v>-76492.570000000007</v>
      </c>
      <c r="J35" s="36">
        <v>115626.07987344463</v>
      </c>
      <c r="K35" s="36">
        <v>-75750.871100000048</v>
      </c>
    </row>
    <row r="36" spans="1:11" ht="13.5" customHeight="1">
      <c r="A36" s="35" t="s">
        <v>456</v>
      </c>
      <c r="B36" s="36">
        <v>21484.01</v>
      </c>
      <c r="C36" s="36">
        <v>40675.14</v>
      </c>
      <c r="D36" s="36">
        <v>51631.34</v>
      </c>
      <c r="E36" s="36">
        <v>2483.9699999999998</v>
      </c>
      <c r="F36" s="36">
        <v>8291.94</v>
      </c>
      <c r="G36" s="36">
        <v>-1312.2</v>
      </c>
      <c r="H36" s="36">
        <v>0</v>
      </c>
      <c r="I36" s="36">
        <v>0</v>
      </c>
      <c r="J36" s="36">
        <v>0</v>
      </c>
      <c r="K36" s="36">
        <v>0</v>
      </c>
    </row>
    <row r="37" spans="1:11" ht="13.5" customHeight="1">
      <c r="A37" s="35" t="s">
        <v>457</v>
      </c>
      <c r="B37" s="36">
        <v>41784.49</v>
      </c>
      <c r="C37" s="36">
        <v>24420.26</v>
      </c>
      <c r="D37" s="36">
        <v>28778.36</v>
      </c>
      <c r="E37" s="36">
        <v>28555.75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</row>
    <row r="38" spans="1:11" ht="13.5" customHeight="1">
      <c r="A38" s="35" t="s">
        <v>458</v>
      </c>
      <c r="B38" s="36">
        <v>-5.88</v>
      </c>
      <c r="C38" s="36">
        <v>447.07</v>
      </c>
      <c r="D38" s="36">
        <v>2430.69</v>
      </c>
      <c r="E38" s="36">
        <v>-659.41</v>
      </c>
      <c r="F38" s="36">
        <v>28986.12</v>
      </c>
      <c r="G38" s="36">
        <v>2123.77</v>
      </c>
      <c r="H38" s="36">
        <v>27949.919999999998</v>
      </c>
      <c r="I38" s="36">
        <v>221375.92</v>
      </c>
      <c r="J38" s="36">
        <v>25107.496201850001</v>
      </c>
      <c r="K38" s="36">
        <v>17252.006314000002</v>
      </c>
    </row>
    <row r="39" spans="1:11" ht="13.5" customHeight="1">
      <c r="A39" s="35" t="s">
        <v>459</v>
      </c>
      <c r="B39" s="36">
        <v>11494.28</v>
      </c>
      <c r="C39" s="36">
        <v>156557.06</v>
      </c>
      <c r="D39" s="36">
        <v>109483.1</v>
      </c>
      <c r="E39" s="36">
        <v>347489.37</v>
      </c>
      <c r="F39" s="36">
        <v>487869.12</v>
      </c>
      <c r="G39" s="36">
        <v>211879.59</v>
      </c>
      <c r="H39" s="36">
        <v>243832.58</v>
      </c>
      <c r="I39" s="36">
        <v>436207.21</v>
      </c>
      <c r="J39" s="36">
        <v>371658.44658018008</v>
      </c>
      <c r="K39" s="36">
        <v>393685.79599843</v>
      </c>
    </row>
    <row r="40" spans="1:11" ht="13.5" customHeight="1">
      <c r="A40" s="45" t="s">
        <v>460</v>
      </c>
      <c r="B40" s="42">
        <v>700812.2</v>
      </c>
      <c r="C40" s="42">
        <v>962847.78</v>
      </c>
      <c r="D40" s="42">
        <v>981770.19</v>
      </c>
      <c r="E40" s="42">
        <v>1016549.09</v>
      </c>
      <c r="F40" s="42">
        <v>786097</v>
      </c>
      <c r="G40" s="42">
        <v>1168508.76</v>
      </c>
      <c r="H40" s="42">
        <v>436518.39</v>
      </c>
      <c r="I40" s="42">
        <v>897241.1</v>
      </c>
      <c r="J40" s="42">
        <v>1230008.9244724661</v>
      </c>
      <c r="K40" s="42">
        <v>1527316.3836488877</v>
      </c>
    </row>
    <row r="41" spans="1:11" ht="13.5" customHeight="1">
      <c r="A41" s="35" t="s">
        <v>456</v>
      </c>
      <c r="B41" s="36">
        <v>350705.06</v>
      </c>
      <c r="C41" s="36">
        <v>320356.46000000002</v>
      </c>
      <c r="D41" s="36">
        <v>490481.02</v>
      </c>
      <c r="E41" s="36">
        <v>521153.58</v>
      </c>
      <c r="F41" s="36">
        <v>268563.63</v>
      </c>
      <c r="G41" s="36">
        <v>556289.16</v>
      </c>
      <c r="H41" s="36">
        <v>589545.33332955209</v>
      </c>
      <c r="I41" s="36">
        <v>437526.6</v>
      </c>
      <c r="J41" s="36">
        <v>662418.85675464023</v>
      </c>
      <c r="K41" s="36">
        <v>853120.54890000005</v>
      </c>
    </row>
    <row r="42" spans="1:11" ht="13.5" customHeight="1">
      <c r="A42" s="35" t="s">
        <v>461</v>
      </c>
      <c r="B42" s="36">
        <v>350705.06</v>
      </c>
      <c r="C42" s="36">
        <v>320356.46000000002</v>
      </c>
      <c r="D42" s="36">
        <v>295700.7</v>
      </c>
      <c r="E42" s="36">
        <v>308824.11</v>
      </c>
      <c r="F42" s="36">
        <v>268563.63</v>
      </c>
      <c r="G42" s="36">
        <v>556289.16</v>
      </c>
      <c r="H42" s="36">
        <v>589545.33332955209</v>
      </c>
      <c r="I42" s="36">
        <v>437526.6</v>
      </c>
      <c r="J42" s="36">
        <v>662418.85675464023</v>
      </c>
      <c r="K42" s="36">
        <v>853120.54890000005</v>
      </c>
    </row>
    <row r="43" spans="1:11" ht="13.5" customHeight="1">
      <c r="A43" s="35" t="s">
        <v>462</v>
      </c>
      <c r="B43" s="36">
        <v>0</v>
      </c>
      <c r="C43" s="36">
        <v>0</v>
      </c>
      <c r="D43" s="36">
        <v>194780.33</v>
      </c>
      <c r="E43" s="36">
        <v>212329.48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</row>
    <row r="44" spans="1:11" ht="13.5" customHeight="1">
      <c r="A44" s="35" t="s">
        <v>457</v>
      </c>
      <c r="B44" s="36">
        <v>322550.71000000002</v>
      </c>
      <c r="C44" s="36">
        <v>456335.66</v>
      </c>
      <c r="D44" s="36">
        <v>301091.77</v>
      </c>
      <c r="E44" s="36">
        <v>161703.18</v>
      </c>
      <c r="F44" s="36">
        <v>-41656.769999999997</v>
      </c>
      <c r="G44" s="36">
        <v>409776.65</v>
      </c>
      <c r="H44" s="36">
        <v>45609.818127050006</v>
      </c>
      <c r="I44" s="36">
        <v>104904.79</v>
      </c>
      <c r="J44" s="36">
        <v>221342.77572275</v>
      </c>
      <c r="K44" s="36">
        <v>191444.19860280535</v>
      </c>
    </row>
    <row r="45" spans="1:11" ht="13.5" customHeight="1">
      <c r="A45" s="35" t="s">
        <v>458</v>
      </c>
      <c r="B45" s="49" t="s">
        <v>21</v>
      </c>
      <c r="C45" s="36">
        <v>51452.25</v>
      </c>
      <c r="D45" s="36">
        <v>48892.78</v>
      </c>
      <c r="E45" s="36">
        <v>2203.83</v>
      </c>
      <c r="F45" s="36">
        <v>98271.72</v>
      </c>
      <c r="G45" s="36">
        <v>11185.97</v>
      </c>
      <c r="H45" s="36">
        <v>10962.08</v>
      </c>
      <c r="I45" s="36">
        <v>15378.95</v>
      </c>
      <c r="J45" s="36">
        <v>18749.349937499999</v>
      </c>
      <c r="K45" s="36">
        <v>25321.462302</v>
      </c>
    </row>
    <row r="46" spans="1:11" ht="13.5" customHeight="1">
      <c r="A46" s="50" t="s">
        <v>463</v>
      </c>
      <c r="B46" s="51">
        <v>27556.43</v>
      </c>
      <c r="C46" s="51">
        <v>134703.41</v>
      </c>
      <c r="D46" s="51">
        <v>141304.62</v>
      </c>
      <c r="E46" s="51">
        <v>331488.49</v>
      </c>
      <c r="F46" s="51">
        <v>460918.41</v>
      </c>
      <c r="G46" s="51">
        <v>191256.99</v>
      </c>
      <c r="H46" s="51">
        <v>-209598.84</v>
      </c>
      <c r="I46" s="51">
        <v>339430.76</v>
      </c>
      <c r="J46" s="51">
        <v>327497.9420575758</v>
      </c>
      <c r="K46" s="51">
        <v>457430.17384408228</v>
      </c>
    </row>
    <row r="47" spans="1:11" s="389" customFormat="1" ht="13.5" customHeight="1">
      <c r="A47" s="460" t="s">
        <v>464</v>
      </c>
      <c r="B47" s="445"/>
      <c r="C47" s="445"/>
      <c r="D47" s="471"/>
      <c r="E47" s="471"/>
      <c r="F47" s="469"/>
      <c r="G47" s="472"/>
    </row>
    <row r="48" spans="1:11" s="390" customFormat="1" ht="13.5" customHeight="1">
      <c r="A48" s="438" t="s">
        <v>42</v>
      </c>
      <c r="B48" s="421"/>
      <c r="C48" s="439"/>
      <c r="D48" s="465"/>
      <c r="E48" s="465"/>
      <c r="F48" s="466"/>
      <c r="G48" s="438"/>
    </row>
    <row r="49" spans="1:7" s="390" customFormat="1" ht="13.5" customHeight="1">
      <c r="A49" s="438" t="s">
        <v>508</v>
      </c>
      <c r="B49" s="439"/>
      <c r="C49" s="439"/>
      <c r="D49" s="473"/>
      <c r="E49" s="473"/>
      <c r="F49" s="466"/>
      <c r="G49" s="438"/>
    </row>
    <row r="50" spans="1:7" s="390" customFormat="1" ht="13.5" customHeight="1">
      <c r="A50" s="438" t="s">
        <v>509</v>
      </c>
      <c r="B50" s="439"/>
      <c r="C50" s="439"/>
      <c r="D50" s="465"/>
      <c r="E50" s="465"/>
      <c r="F50" s="466"/>
      <c r="G50" s="438"/>
    </row>
    <row r="51" spans="1:7" s="390" customFormat="1" ht="13.5" customHeight="1">
      <c r="A51" s="438" t="s">
        <v>510</v>
      </c>
      <c r="B51" s="438"/>
      <c r="C51" s="438"/>
      <c r="D51" s="473"/>
      <c r="E51" s="473"/>
      <c r="F51" s="466"/>
      <c r="G51" s="438"/>
    </row>
    <row r="52" spans="1:7" s="390" customFormat="1" ht="13.5" customHeight="1">
      <c r="A52" s="465" t="s">
        <v>511</v>
      </c>
      <c r="B52" s="465"/>
      <c r="C52" s="465"/>
      <c r="D52" s="465"/>
      <c r="E52" s="465"/>
      <c r="F52" s="465"/>
      <c r="G52" s="465"/>
    </row>
    <row r="53" spans="1:7" s="390" customFormat="1" ht="13.5" customHeight="1">
      <c r="A53" s="465" t="s">
        <v>465</v>
      </c>
      <c r="D53" s="465"/>
      <c r="E53" s="465"/>
      <c r="F53" s="465"/>
      <c r="G53" s="465"/>
    </row>
    <row r="54" spans="1:7" ht="13.5" customHeight="1"/>
    <row r="55" spans="1:7" ht="13.5" customHeight="1"/>
    <row r="56" spans="1:7" ht="13.5" customHeight="1"/>
    <row r="57" spans="1:7" ht="13.5" customHeight="1"/>
    <row r="58" spans="1:7" ht="13.5" customHeight="1"/>
    <row r="59" spans="1:7" ht="13.5" customHeight="1"/>
    <row r="60" spans="1:7" ht="13.5" customHeight="1"/>
    <row r="61" spans="1:7" ht="13.5" customHeight="1"/>
    <row r="62" spans="1:7" ht="13.5" customHeight="1"/>
    <row r="63" spans="1:7" ht="13.5" customHeight="1"/>
    <row r="64" spans="1:7" ht="13.5" customHeight="1"/>
    <row r="65" s="7" customFormat="1" ht="13.5" customHeight="1"/>
    <row r="66" s="7" customFormat="1" ht="13.5" customHeight="1"/>
    <row r="67" s="7" customFormat="1" ht="13.5" customHeight="1"/>
    <row r="68" s="7" customFormat="1" ht="13.5" customHeight="1"/>
    <row r="69" s="7" customFormat="1" ht="13.5" customHeight="1"/>
    <row r="70" s="7" customFormat="1" ht="13.5" customHeight="1"/>
    <row r="71" s="7" customFormat="1" ht="13.5" customHeight="1"/>
    <row r="72" s="7" customFormat="1" ht="13.5" customHeight="1"/>
    <row r="73" s="7" customFormat="1" ht="13.5" customHeight="1"/>
    <row r="74" s="7" customFormat="1" ht="13.5" customHeight="1"/>
    <row r="75" s="7" customFormat="1" ht="13.5" customHeight="1"/>
    <row r="76" s="7" customFormat="1" ht="13.5" customHeight="1"/>
    <row r="77" s="7" customFormat="1" ht="13.5" customHeight="1"/>
    <row r="78" s="7" customFormat="1" ht="13.5" customHeight="1"/>
    <row r="79" s="7" customFormat="1" ht="13.5" customHeight="1"/>
    <row r="80" s="7" customFormat="1" ht="13.5" customHeight="1"/>
    <row r="81" s="7" customFormat="1" ht="13.5" customHeight="1"/>
    <row r="82" s="7" customFormat="1" ht="13.5" customHeight="1"/>
    <row r="83" s="7" customFormat="1" ht="13.5" customHeight="1"/>
    <row r="84" s="7" customFormat="1" ht="13.5" customHeight="1"/>
    <row r="85" s="7" customFormat="1" ht="13.5" customHeight="1"/>
    <row r="86" s="7" customFormat="1" ht="13.5" customHeight="1"/>
    <row r="87" s="7" customFormat="1" ht="13.5" customHeight="1"/>
    <row r="88" s="7" customFormat="1" ht="13.5" customHeight="1"/>
    <row r="89" s="7" customFormat="1" ht="13.5" customHeight="1"/>
    <row r="90" s="7" customFormat="1" ht="13.5" customHeight="1"/>
    <row r="91" s="7" customFormat="1" ht="13.5" customHeight="1"/>
    <row r="92" s="7" customFormat="1" ht="13.5" customHeight="1"/>
    <row r="93" s="7" customFormat="1" ht="13.5" customHeight="1"/>
    <row r="94" s="7" customFormat="1" ht="13.5" customHeight="1"/>
    <row r="95" s="7" customFormat="1" ht="13.5" customHeight="1"/>
    <row r="96" s="7" customFormat="1" ht="13.5" customHeight="1"/>
    <row r="97" s="7" customFormat="1" ht="13.5" customHeight="1"/>
    <row r="98" s="7" customFormat="1" ht="13.5" customHeight="1"/>
    <row r="99" s="7" customFormat="1" ht="13.5" customHeight="1"/>
    <row r="100" s="7" customFormat="1" ht="13.5" customHeight="1"/>
    <row r="101" s="7" customFormat="1" ht="13.5" customHeight="1"/>
    <row r="102" s="7" customFormat="1" ht="13.5" customHeight="1"/>
    <row r="103" s="7" customFormat="1" ht="13.5" customHeight="1"/>
    <row r="104" s="7" customFormat="1" ht="13.5" customHeight="1"/>
    <row r="105" s="7" customFormat="1" ht="13.5" customHeight="1"/>
    <row r="106" s="7" customFormat="1" ht="13.5" customHeight="1"/>
    <row r="107" s="7" customFormat="1" ht="13.5" customHeight="1"/>
    <row r="108" s="7" customFormat="1" ht="13.5" customHeight="1"/>
    <row r="109" s="7" customFormat="1" ht="13.5" customHeight="1"/>
    <row r="110" s="7" customFormat="1" ht="13.5" customHeight="1"/>
    <row r="111" s="7" customFormat="1" ht="13.5" customHeight="1"/>
    <row r="112" s="7" customFormat="1" ht="13.5" customHeight="1"/>
    <row r="113" s="7" customFormat="1" ht="13.5" customHeight="1"/>
    <row r="114" s="7" customFormat="1" ht="13.5" customHeight="1"/>
    <row r="115" s="7" customFormat="1" ht="13.5" customHeight="1"/>
    <row r="116" s="7" customFormat="1" ht="13.5" customHeight="1"/>
    <row r="117" s="7" customFormat="1" ht="13.5" customHeight="1"/>
    <row r="118" s="7" customFormat="1" ht="13.5" customHeight="1"/>
    <row r="119" s="7" customFormat="1" ht="13.5" customHeight="1"/>
    <row r="120" s="7" customFormat="1" ht="13.5" customHeight="1"/>
    <row r="121" s="7" customFormat="1" ht="13.5" customHeight="1"/>
    <row r="122" s="7" customFormat="1" ht="13.5" customHeight="1"/>
    <row r="123" s="7" customFormat="1" ht="13.5" customHeight="1"/>
    <row r="124" s="7" customFormat="1" ht="13.5" customHeight="1"/>
    <row r="125" s="7" customFormat="1" ht="13.5" customHeight="1"/>
    <row r="126" s="7" customFormat="1" ht="13.5" customHeight="1"/>
    <row r="127" s="7" customFormat="1" ht="13.5" customHeight="1"/>
    <row r="128" s="7" customFormat="1" ht="13.5" customHeight="1"/>
    <row r="129" s="7" customFormat="1" ht="13.5" customHeight="1"/>
    <row r="130" s="7" customFormat="1" ht="13.5" customHeight="1"/>
    <row r="131" s="7" customFormat="1" ht="13.5" customHeight="1"/>
    <row r="132" s="7" customFormat="1" ht="13.5" customHeight="1"/>
    <row r="133" s="7" customFormat="1" ht="13.5" customHeight="1"/>
    <row r="134" s="7" customFormat="1" ht="13.5" customHeight="1"/>
    <row r="135" s="7" customFormat="1" ht="13.5" customHeight="1"/>
    <row r="136" s="7" customFormat="1" ht="13.5" customHeight="1"/>
    <row r="137" s="7" customFormat="1" ht="13.5" customHeight="1"/>
    <row r="138" s="7" customFormat="1" ht="13.5" customHeight="1"/>
    <row r="139" s="7" customFormat="1" ht="13.5" customHeight="1"/>
    <row r="140" s="7" customFormat="1" ht="13.5" customHeight="1"/>
    <row r="141" s="7" customFormat="1" ht="13.5" customHeight="1"/>
    <row r="142" s="7" customFormat="1" ht="13.5" customHeight="1"/>
    <row r="143" s="7" customFormat="1" ht="13.5" customHeight="1"/>
    <row r="144" s="7" customFormat="1" ht="13.5" customHeight="1"/>
    <row r="145" s="7" customFormat="1" ht="13.5" customHeight="1"/>
    <row r="146" s="7" customFormat="1" ht="13.5" customHeight="1"/>
    <row r="147" s="7" customFormat="1" ht="13.5" customHeight="1"/>
    <row r="148" s="7" customFormat="1" ht="13.5" customHeight="1"/>
    <row r="149" s="7" customFormat="1" ht="13.5" customHeight="1"/>
    <row r="150" s="7" customFormat="1" ht="13.5" customHeight="1"/>
    <row r="151" s="7" customFormat="1" ht="13.5" customHeight="1"/>
    <row r="152" s="7" customFormat="1" ht="13.5" customHeight="1"/>
    <row r="153" s="7" customFormat="1" ht="13.5" customHeight="1"/>
    <row r="154" s="7" customFormat="1" ht="13.5" customHeight="1"/>
    <row r="155" s="7" customFormat="1" ht="13.5" customHeight="1"/>
    <row r="156" s="7" customFormat="1" ht="13.5" customHeight="1"/>
    <row r="157" s="7" customFormat="1" ht="13.5" customHeight="1"/>
    <row r="158" s="7" customFormat="1" ht="13.5" customHeight="1"/>
    <row r="159" s="7" customFormat="1" ht="13.5" customHeight="1"/>
    <row r="160" s="7" customFormat="1" ht="13.5" customHeight="1"/>
    <row r="161" s="7" customFormat="1" ht="13.5" customHeight="1"/>
    <row r="162" s="7" customFormat="1" ht="13.5" customHeight="1"/>
    <row r="163" s="7" customFormat="1" ht="13.5" customHeight="1"/>
    <row r="164" s="7" customFormat="1" ht="13.5" customHeight="1"/>
    <row r="165" s="7" customFormat="1" ht="13.5" customHeight="1"/>
    <row r="166" s="7" customFormat="1" ht="13.5" customHeight="1"/>
    <row r="167" s="7" customFormat="1" ht="13.5" customHeight="1"/>
    <row r="168" s="7" customFormat="1" ht="13.5" customHeight="1"/>
    <row r="169" s="7" customFormat="1" ht="13.5" customHeight="1"/>
    <row r="170" s="7" customFormat="1" ht="13.5" customHeight="1"/>
    <row r="171" s="7" customFormat="1" ht="13.5" customHeight="1"/>
    <row r="172" s="7" customFormat="1" ht="13.5" customHeight="1"/>
    <row r="173" s="7" customFormat="1" ht="13.5" customHeight="1"/>
    <row r="174" s="7" customFormat="1" ht="13.5" customHeight="1"/>
    <row r="175" s="7" customFormat="1" ht="13.5" customHeight="1"/>
    <row r="176" s="7" customFormat="1" ht="13.5" customHeight="1"/>
    <row r="177" s="7" customFormat="1" ht="13.5" customHeight="1"/>
    <row r="178" s="7" customFormat="1" ht="13.5" customHeight="1"/>
    <row r="179" s="7" customFormat="1" ht="13.5" customHeight="1"/>
    <row r="180" s="7" customFormat="1" ht="13.5" customHeight="1"/>
    <row r="181" s="7" customFormat="1" ht="13.5" customHeight="1"/>
    <row r="182" s="7" customFormat="1" ht="13.5" customHeight="1"/>
    <row r="183" s="7" customFormat="1" ht="13.5" customHeight="1"/>
    <row r="184" s="7" customFormat="1" ht="13.5" customHeight="1"/>
    <row r="185" s="7" customFormat="1" ht="13.5" customHeight="1"/>
    <row r="186" s="7" customFormat="1" ht="13.5" customHeight="1"/>
    <row r="187" s="7" customFormat="1" ht="13.5" customHeight="1"/>
    <row r="188" s="7" customFormat="1" ht="13.5" customHeight="1"/>
    <row r="189" s="7" customFormat="1" ht="13.5" customHeight="1"/>
    <row r="190" s="7" customFormat="1" ht="13.5" customHeight="1"/>
    <row r="191" s="7" customFormat="1" ht="13.5" customHeight="1"/>
    <row r="192" s="7" customFormat="1" ht="13.5" customHeight="1"/>
    <row r="193" s="7" customFormat="1" ht="13.5" customHeight="1"/>
    <row r="194" s="7" customFormat="1" ht="13.5" customHeight="1"/>
    <row r="195" s="7" customFormat="1" ht="13.5" customHeight="1"/>
    <row r="196" s="7" customFormat="1" ht="13.5" customHeight="1"/>
    <row r="197" s="7" customFormat="1" ht="13.5" customHeight="1"/>
    <row r="198" s="7" customFormat="1" ht="13.5" customHeight="1"/>
    <row r="199" s="7" customFormat="1" ht="13.5" customHeight="1"/>
    <row r="200" s="7" customFormat="1" ht="13.5" customHeight="1"/>
    <row r="201" s="7" customFormat="1" ht="13.5" customHeight="1"/>
    <row r="202" s="7" customFormat="1" ht="13.5" customHeight="1"/>
    <row r="203" s="7" customFormat="1" ht="13.5" customHeight="1"/>
    <row r="204" s="7" customFormat="1" ht="13.5" customHeight="1"/>
    <row r="205" s="7" customFormat="1" ht="13.5" customHeight="1"/>
    <row r="206" s="7" customFormat="1" ht="13.5" customHeight="1"/>
    <row r="207" s="7" customFormat="1" ht="13.5" customHeight="1"/>
    <row r="208" s="7" customFormat="1" ht="13.5" customHeight="1"/>
    <row r="209" s="7" customFormat="1" ht="13.5" customHeight="1"/>
    <row r="210" s="7" customFormat="1" ht="13.5" customHeight="1"/>
    <row r="211" s="7" customFormat="1" ht="13.5" customHeight="1"/>
    <row r="212" s="7" customFormat="1" ht="13.5" customHeight="1"/>
    <row r="213" s="7" customFormat="1" ht="13.5" customHeight="1"/>
    <row r="214" s="7" customFormat="1" ht="13.5" customHeight="1"/>
    <row r="215" s="7" customFormat="1" ht="13.5" customHeight="1"/>
    <row r="216" s="7" customFormat="1" ht="13.5" customHeight="1"/>
    <row r="217" s="7" customFormat="1" ht="13.5" customHeight="1"/>
    <row r="218" s="7" customFormat="1" ht="13.5" customHeight="1"/>
    <row r="219" s="7" customFormat="1" ht="13.5" customHeight="1"/>
    <row r="220" s="7" customFormat="1" ht="13.5" customHeight="1"/>
    <row r="221" s="7" customFormat="1" ht="13.5" customHeight="1"/>
    <row r="222" s="7" customFormat="1" ht="13.5" customHeight="1"/>
    <row r="223" s="7" customFormat="1" ht="13.5" customHeight="1"/>
    <row r="224" s="7" customFormat="1" ht="13.5" customHeight="1"/>
    <row r="225" s="7" customFormat="1" ht="13.5" customHeight="1"/>
    <row r="226" s="7" customFormat="1" ht="13.5" customHeight="1"/>
    <row r="227" s="7" customFormat="1" ht="13.5" customHeight="1"/>
    <row r="228" s="7" customFormat="1" ht="13.5" customHeight="1"/>
    <row r="229" s="7" customFormat="1" ht="13.5" customHeight="1"/>
    <row r="230" s="7" customFormat="1" ht="13.5" customHeight="1"/>
    <row r="231" s="7" customFormat="1" ht="13.5" customHeight="1"/>
    <row r="232" s="7" customFormat="1" ht="13.5" customHeight="1"/>
    <row r="233" s="7" customFormat="1" ht="13.5" customHeight="1"/>
    <row r="234" s="7" customFormat="1" ht="13.5" customHeight="1"/>
    <row r="235" s="7" customFormat="1" ht="13.5" customHeight="1"/>
    <row r="236" s="7" customFormat="1" ht="13.5" customHeight="1"/>
    <row r="237" s="7" customFormat="1" ht="13.5" customHeight="1"/>
    <row r="238" s="7" customFormat="1" ht="13.5" customHeight="1"/>
    <row r="239" s="7" customFormat="1" ht="13.5" customHeight="1"/>
    <row r="240" s="7" customFormat="1" ht="13.5" customHeight="1"/>
    <row r="241" s="7" customFormat="1" ht="13.5" customHeight="1"/>
    <row r="242" s="7" customFormat="1" ht="13.5" customHeight="1"/>
    <row r="243" s="7" customFormat="1" ht="13.5" customHeight="1"/>
    <row r="244" s="7" customFormat="1" ht="13.5" customHeight="1"/>
    <row r="245" s="7" customFormat="1" ht="13.5" customHeight="1"/>
    <row r="246" s="7" customFormat="1" ht="13.5" customHeight="1"/>
    <row r="247" s="7" customFormat="1" ht="13.5" customHeight="1"/>
    <row r="248" s="7" customFormat="1" ht="13.5" customHeight="1"/>
    <row r="249" s="7" customFormat="1" ht="13.5" customHeight="1"/>
    <row r="250" s="7" customFormat="1" ht="13.5" customHeight="1"/>
    <row r="251" s="7" customFormat="1" ht="13.5" customHeight="1"/>
    <row r="252" s="7" customFormat="1" ht="13.5" customHeight="1"/>
    <row r="253" s="7" customFormat="1" ht="13.5" customHeight="1"/>
    <row r="254" s="7" customFormat="1" ht="13.5" customHeight="1"/>
    <row r="255" s="7" customFormat="1" ht="13.5" customHeight="1"/>
    <row r="256" s="7" customFormat="1" ht="13.5" customHeight="1"/>
    <row r="257" s="7" customFormat="1" ht="13.5" customHeight="1"/>
    <row r="258" s="7" customFormat="1" ht="13.5" customHeight="1"/>
    <row r="259" s="7" customFormat="1" ht="13.5" customHeight="1"/>
    <row r="260" s="7" customFormat="1" ht="13.5" customHeight="1"/>
    <row r="261" s="7" customFormat="1" ht="13.5" customHeight="1"/>
    <row r="262" s="7" customFormat="1" ht="13.5" customHeight="1"/>
    <row r="263" s="7" customFormat="1" ht="13.5" customHeight="1"/>
    <row r="264" s="7" customFormat="1" ht="13.5" customHeight="1"/>
    <row r="265" s="7" customFormat="1" ht="13.5" customHeight="1"/>
    <row r="266" s="7" customFormat="1" ht="13.5" customHeight="1"/>
    <row r="267" s="7" customFormat="1" ht="13.5" customHeight="1"/>
    <row r="268" s="7" customFormat="1" ht="13.5" customHeight="1"/>
    <row r="269" s="7" customFormat="1" ht="13.5" customHeight="1"/>
    <row r="270" s="7" customFormat="1" ht="13.5" customHeight="1"/>
    <row r="271" s="7" customFormat="1" ht="13.5" customHeight="1"/>
    <row r="272" s="7" customFormat="1" ht="13.5" customHeight="1"/>
    <row r="273" s="7" customFormat="1" ht="13.5" customHeight="1"/>
    <row r="274" s="7" customFormat="1" ht="13.5" customHeight="1"/>
    <row r="275" s="7" customFormat="1" ht="13.5" customHeight="1"/>
    <row r="276" s="7" customFormat="1" ht="13.5" customHeight="1"/>
    <row r="277" s="7" customFormat="1" ht="13.5" customHeight="1"/>
    <row r="278" s="7" customFormat="1" ht="13.5" customHeight="1"/>
    <row r="279" s="7" customFormat="1" ht="13.5" customHeight="1"/>
    <row r="280" s="7" customFormat="1" ht="13.5" customHeight="1"/>
    <row r="281" s="7" customFormat="1" ht="13.5" customHeight="1"/>
    <row r="282" s="7" customFormat="1" ht="13.5" customHeight="1"/>
    <row r="283" s="7" customFormat="1" ht="13.5" customHeight="1"/>
    <row r="284" s="7" customFormat="1" ht="13.5" customHeight="1"/>
    <row r="285" s="7" customFormat="1" ht="13.5" customHeight="1"/>
    <row r="286" s="7" customFormat="1" ht="13.5" customHeight="1"/>
    <row r="287" s="7" customFormat="1" ht="13.5" customHeight="1"/>
    <row r="288" s="7" customFormat="1" ht="13.5" customHeight="1"/>
    <row r="289" s="7" customFormat="1" ht="13.5" customHeight="1"/>
    <row r="290" s="7" customFormat="1" ht="13.5" customHeight="1"/>
    <row r="291" s="7" customFormat="1" ht="13.5" customHeight="1"/>
    <row r="292" s="7" customFormat="1" ht="13.5" customHeight="1"/>
    <row r="293" s="7" customFormat="1" ht="13.5" customHeight="1"/>
    <row r="294" s="7" customFormat="1" ht="13.5" customHeight="1"/>
    <row r="295" s="7" customFormat="1" ht="13.5" customHeight="1"/>
    <row r="296" s="7" customFormat="1" ht="13.5" customHeight="1"/>
    <row r="297" s="7" customFormat="1" ht="13.5" customHeight="1"/>
    <row r="298" s="7" customFormat="1" ht="13.5" customHeight="1"/>
    <row r="299" s="7" customFormat="1" ht="13.5" customHeight="1"/>
    <row r="300" s="7" customFormat="1" ht="13.5" customHeight="1"/>
    <row r="301" s="7" customFormat="1" ht="13.5" customHeight="1"/>
    <row r="302" s="7" customFormat="1" ht="13.5" customHeight="1"/>
    <row r="303" s="7" customFormat="1" ht="13.5" customHeight="1"/>
    <row r="304" s="7" customFormat="1" ht="13.5" customHeight="1"/>
    <row r="305" s="7" customFormat="1" ht="13.5" customHeight="1"/>
    <row r="306" s="7" customFormat="1" ht="13.5" customHeight="1"/>
    <row r="307" s="7" customFormat="1" ht="13.5" customHeight="1"/>
    <row r="308" s="7" customFormat="1" ht="13.5" customHeight="1"/>
    <row r="309" s="7" customFormat="1" ht="13.5" customHeight="1"/>
    <row r="310" s="7" customFormat="1" ht="13.5" customHeight="1"/>
    <row r="311" s="7" customFormat="1" ht="13.5" customHeight="1"/>
    <row r="312" s="7" customFormat="1" ht="13.5" customHeight="1"/>
    <row r="313" s="7" customFormat="1" ht="13.5" customHeight="1"/>
    <row r="314" s="7" customFormat="1" ht="13.5" customHeight="1"/>
    <row r="315" s="7" customFormat="1" ht="13.5" customHeight="1"/>
    <row r="316" s="7" customFormat="1" ht="13.5" customHeight="1"/>
    <row r="317" s="7" customFormat="1" ht="13.5" customHeight="1"/>
    <row r="318" s="7" customFormat="1" ht="13.5" customHeight="1"/>
    <row r="319" s="7" customFormat="1" ht="13.5" customHeight="1"/>
    <row r="320" s="7" customFormat="1" ht="13.5" customHeight="1"/>
    <row r="321" s="7" customFormat="1" ht="13.5" customHeight="1"/>
    <row r="322" s="7" customFormat="1" ht="13.5" customHeight="1"/>
    <row r="323" s="7" customFormat="1" ht="13.5" customHeight="1"/>
    <row r="324" s="7" customFormat="1" ht="13.5" customHeight="1"/>
    <row r="325" s="7" customFormat="1" ht="13.5" customHeight="1"/>
    <row r="326" s="7" customFormat="1" ht="13.5" customHeight="1"/>
    <row r="327" s="7" customFormat="1" ht="13.5" customHeight="1"/>
    <row r="328" s="7" customFormat="1" ht="13.5" customHeight="1"/>
    <row r="329" s="7" customFormat="1" ht="13.5" customHeight="1"/>
    <row r="330" s="7" customFormat="1" ht="13.5" customHeight="1"/>
    <row r="331" s="7" customFormat="1" ht="13.5" customHeight="1"/>
    <row r="332" s="7" customFormat="1" ht="13.5" customHeight="1"/>
    <row r="333" s="7" customFormat="1" ht="13.5" customHeight="1"/>
    <row r="334" s="7" customFormat="1" ht="13.5" customHeight="1"/>
    <row r="335" s="7" customFormat="1" ht="13.5" customHeight="1"/>
    <row r="336" s="7" customFormat="1" ht="13.5" customHeight="1"/>
    <row r="337" s="7" customFormat="1" ht="13.5" customHeight="1"/>
    <row r="338" s="7" customFormat="1" ht="13.5" customHeight="1"/>
    <row r="339" s="7" customFormat="1" ht="13.5" customHeight="1"/>
    <row r="340" s="7" customFormat="1" ht="13.5" customHeight="1"/>
    <row r="341" s="7" customFormat="1" ht="13.5" customHeight="1"/>
    <row r="342" s="7" customFormat="1" ht="13.5" customHeight="1"/>
    <row r="343" s="7" customFormat="1" ht="13.5" customHeight="1"/>
    <row r="344" s="7" customFormat="1" ht="13.5" customHeight="1"/>
    <row r="345" s="7" customFormat="1" ht="13.5" customHeight="1"/>
    <row r="346" s="7" customFormat="1" ht="13.5" customHeight="1"/>
    <row r="347" s="7" customFormat="1" ht="13.5" customHeight="1"/>
    <row r="348" s="7" customFormat="1" ht="13.5" customHeight="1"/>
    <row r="349" s="7" customFormat="1" ht="13.5" customHeight="1"/>
    <row r="350" s="7" customFormat="1" ht="13.5" customHeight="1"/>
    <row r="351" s="7" customFormat="1" ht="13.5" customHeight="1"/>
    <row r="352" s="7" customFormat="1" ht="13.5" customHeight="1"/>
    <row r="353" s="7" customFormat="1" ht="13.5" customHeight="1"/>
    <row r="354" s="7" customFormat="1" ht="13.5" customHeight="1"/>
    <row r="355" s="7" customFormat="1" ht="13.5" customHeight="1"/>
    <row r="356" s="7" customFormat="1" ht="13.5" customHeight="1"/>
    <row r="357" s="7" customFormat="1" ht="13.5" customHeight="1"/>
    <row r="358" s="7" customFormat="1" ht="13.5" customHeight="1"/>
    <row r="359" s="7" customFormat="1" ht="13.5" customHeight="1"/>
    <row r="360" s="7" customFormat="1" ht="13.5" customHeight="1"/>
    <row r="361" s="7" customFormat="1" ht="13.5" customHeight="1"/>
    <row r="362" s="7" customFormat="1" ht="13.5" customHeight="1"/>
    <row r="363" s="7" customFormat="1" ht="13.5" customHeight="1"/>
    <row r="364" s="7" customFormat="1" ht="13.5" customHeight="1"/>
    <row r="365" s="7" customFormat="1" ht="13.5" customHeight="1"/>
    <row r="366" s="7" customFormat="1" ht="13.5" customHeight="1"/>
    <row r="367" s="7" customFormat="1" ht="13.5" customHeight="1"/>
    <row r="368" s="7" customFormat="1" ht="13.5" customHeight="1"/>
    <row r="369" s="7" customFormat="1" ht="13.5" customHeight="1"/>
    <row r="370" s="7" customFormat="1" ht="13.5" customHeight="1"/>
    <row r="371" s="7" customFormat="1" ht="13.5" customHeight="1"/>
    <row r="372" s="7" customFormat="1" ht="13.5" customHeight="1"/>
    <row r="373" s="7" customFormat="1" ht="13.5" customHeight="1"/>
    <row r="374" s="7" customFormat="1" ht="13.5" customHeight="1"/>
    <row r="375" s="7" customFormat="1" ht="13.5" customHeight="1"/>
    <row r="376" s="7" customFormat="1" ht="13.5" customHeight="1"/>
    <row r="377" s="7" customFormat="1" ht="13.5" customHeight="1"/>
    <row r="378" s="7" customFormat="1" ht="13.5" customHeight="1"/>
    <row r="379" s="7" customFormat="1" ht="13.5" customHeight="1"/>
    <row r="380" s="7" customFormat="1" ht="13.5" customHeight="1"/>
    <row r="381" s="7" customFormat="1" ht="13.5" customHeight="1"/>
    <row r="382" s="7" customFormat="1" ht="13.5" customHeight="1"/>
    <row r="383" s="7" customFormat="1" ht="13.5" customHeight="1"/>
    <row r="384" s="7" customFormat="1" ht="13.5" customHeight="1"/>
    <row r="385" s="7" customFormat="1" ht="13.5" customHeight="1"/>
    <row r="386" s="7" customFormat="1" ht="13.5" customHeight="1"/>
    <row r="387" s="7" customFormat="1" ht="13.5" customHeight="1"/>
    <row r="388" s="7" customFormat="1" ht="13.5" customHeight="1"/>
    <row r="389" s="7" customFormat="1" ht="13.5" customHeight="1"/>
    <row r="390" s="7" customFormat="1" ht="13.5" customHeight="1"/>
    <row r="391" s="7" customFormat="1" ht="13.5" customHeight="1"/>
    <row r="392" s="7" customFormat="1" ht="13.5" customHeight="1"/>
    <row r="393" s="7" customFormat="1" ht="13.5" customHeight="1"/>
    <row r="394" s="7" customFormat="1" ht="13.5" customHeight="1"/>
    <row r="395" s="7" customFormat="1" ht="13.5" customHeight="1"/>
    <row r="396" s="7" customFormat="1" ht="13.5" customHeight="1"/>
    <row r="397" s="7" customFormat="1" ht="13.5" customHeight="1"/>
    <row r="398" s="7" customFormat="1" ht="13.5" customHeight="1"/>
    <row r="399" s="7" customFormat="1" ht="13.5" customHeight="1"/>
    <row r="400" s="7" customFormat="1" ht="13.5" customHeight="1"/>
    <row r="401" s="7" customFormat="1" ht="13.5" customHeight="1"/>
    <row r="402" s="7" customFormat="1" ht="13.5" customHeight="1"/>
    <row r="403" s="7" customFormat="1" ht="13.5" customHeight="1"/>
    <row r="404" s="7" customFormat="1" ht="13.5" customHeight="1"/>
    <row r="405" s="7" customFormat="1" ht="13.5" customHeight="1"/>
    <row r="406" s="7" customFormat="1" ht="13.5" customHeight="1"/>
    <row r="407" s="7" customFormat="1" ht="13.5" customHeight="1"/>
    <row r="408" s="7" customFormat="1" ht="13.5" customHeight="1"/>
    <row r="409" s="7" customFormat="1" ht="13.5" customHeight="1"/>
    <row r="410" s="7" customFormat="1" ht="13.5" customHeight="1"/>
    <row r="411" s="7" customFormat="1" ht="13.5" customHeight="1"/>
    <row r="412" s="7" customFormat="1" ht="13.5" customHeight="1"/>
    <row r="413" s="7" customFormat="1" ht="13.5" customHeight="1"/>
    <row r="414" s="7" customFormat="1" ht="13.5" customHeight="1"/>
    <row r="415" s="7" customFormat="1" ht="13.5" customHeight="1"/>
    <row r="416" s="7" customFormat="1" ht="13.5" customHeight="1"/>
    <row r="417" s="7" customFormat="1" ht="13.5" customHeight="1"/>
    <row r="418" s="7" customFormat="1" ht="13.5" customHeight="1"/>
    <row r="419" s="7" customFormat="1" ht="13.5" customHeight="1"/>
    <row r="420" s="7" customFormat="1" ht="13.5" customHeight="1"/>
    <row r="421" s="7" customFormat="1" ht="13.5" customHeight="1"/>
    <row r="422" s="7" customFormat="1" ht="13.5" customHeight="1"/>
    <row r="423" s="7" customFormat="1" ht="13.5" customHeight="1"/>
    <row r="424" s="7" customFormat="1" ht="13.5" customHeight="1"/>
    <row r="425" s="7" customFormat="1" ht="13.5" customHeight="1"/>
    <row r="426" s="7" customFormat="1" ht="13.5" customHeight="1"/>
    <row r="427" s="7" customFormat="1" ht="13.5" customHeight="1"/>
    <row r="428" s="7" customFormat="1" ht="13.5" customHeight="1"/>
    <row r="429" s="7" customFormat="1" ht="13.5" customHeight="1"/>
    <row r="430" s="7" customFormat="1" ht="13.5" customHeight="1"/>
    <row r="431" s="7" customFormat="1" ht="13.5" customHeight="1"/>
    <row r="432" s="7" customFormat="1" ht="13.5" customHeight="1"/>
    <row r="433" s="7" customFormat="1" ht="13.5" customHeight="1"/>
    <row r="434" s="7" customFormat="1" ht="13.5" customHeight="1"/>
    <row r="435" s="7" customFormat="1" ht="13.5" customHeight="1"/>
    <row r="436" s="7" customFormat="1" ht="13.5" customHeight="1"/>
    <row r="437" s="7" customFormat="1" ht="13.5" customHeight="1"/>
    <row r="438" s="7" customFormat="1" ht="13.5" customHeight="1"/>
    <row r="439" s="7" customFormat="1" ht="13.5" customHeight="1"/>
    <row r="440" s="7" customFormat="1" ht="13.5" customHeight="1"/>
    <row r="441" s="7" customFormat="1" ht="13.5" customHeight="1"/>
    <row r="442" s="7" customFormat="1" ht="13.5" customHeight="1"/>
    <row r="443" s="7" customFormat="1" ht="13.5" customHeight="1"/>
    <row r="444" s="7" customFormat="1" ht="13.5" customHeight="1"/>
    <row r="445" s="7" customFormat="1" ht="13.5" customHeight="1"/>
    <row r="446" s="7" customFormat="1" ht="13.5" customHeight="1"/>
    <row r="447" s="7" customFormat="1" ht="13.5" customHeight="1"/>
    <row r="448" s="7" customFormat="1" ht="13.5" customHeight="1"/>
    <row r="449" s="7" customFormat="1" ht="13.5" customHeight="1"/>
    <row r="450" s="7" customFormat="1" ht="13.5" customHeight="1"/>
    <row r="451" s="7" customFormat="1" ht="13.5" customHeight="1"/>
    <row r="452" s="7" customFormat="1" ht="13.5" customHeight="1"/>
    <row r="453" s="7" customFormat="1" ht="13.5" customHeight="1"/>
    <row r="454" s="7" customFormat="1" ht="13.5" customHeight="1"/>
    <row r="455" s="7" customFormat="1" ht="13.5" customHeight="1"/>
    <row r="456" s="7" customFormat="1" ht="13.5" customHeight="1"/>
    <row r="457" s="7" customFormat="1" ht="13.5" customHeight="1"/>
    <row r="458" s="7" customFormat="1" ht="13.5" customHeight="1"/>
    <row r="459" s="7" customFormat="1" ht="13.5" customHeight="1"/>
    <row r="460" s="7" customFormat="1" ht="13.5" customHeight="1"/>
    <row r="461" s="7" customFormat="1" ht="13.5" customHeight="1"/>
    <row r="462" s="7" customFormat="1" ht="13.5" customHeight="1"/>
    <row r="463" s="7" customFormat="1" ht="13.5" customHeight="1"/>
    <row r="464" s="7" customFormat="1" ht="13.5" customHeight="1"/>
    <row r="465" s="7" customFormat="1" ht="13.5" customHeight="1"/>
    <row r="466" s="7" customFormat="1" ht="13.5" customHeight="1"/>
    <row r="467" s="7" customFormat="1" ht="13.5" customHeight="1"/>
    <row r="468" s="7" customFormat="1" ht="13.5" customHeight="1"/>
    <row r="469" s="7" customFormat="1" ht="13.5" customHeight="1"/>
    <row r="470" s="7" customFormat="1" ht="13.5" customHeight="1"/>
    <row r="471" s="7" customFormat="1" ht="13.5" customHeight="1"/>
    <row r="472" s="7" customFormat="1" ht="13.5" customHeight="1"/>
    <row r="473" s="7" customFormat="1" ht="13.5" customHeight="1"/>
    <row r="474" s="7" customFormat="1" ht="13.5" customHeight="1"/>
    <row r="475" s="7" customFormat="1" ht="13.5" customHeight="1"/>
    <row r="476" s="7" customFormat="1" ht="13.5" customHeight="1"/>
    <row r="477" s="7" customFormat="1" ht="13.5" customHeight="1"/>
    <row r="478" s="7" customFormat="1" ht="13.5" customHeight="1"/>
    <row r="479" s="7" customFormat="1" ht="13.5" customHeight="1"/>
    <row r="480" s="7" customFormat="1" ht="13.5" customHeight="1"/>
    <row r="481" s="7" customFormat="1" ht="13.5" customHeight="1"/>
    <row r="482" s="7" customFormat="1" ht="13.5" customHeight="1"/>
    <row r="483" s="7" customFormat="1" ht="13.5" customHeight="1"/>
    <row r="484" s="7" customFormat="1" ht="13.5" customHeight="1"/>
    <row r="485" s="7" customFormat="1" ht="13.5" customHeight="1"/>
    <row r="486" s="7" customFormat="1" ht="13.5" customHeight="1"/>
    <row r="487" s="7" customFormat="1" ht="13.5" customHeight="1"/>
    <row r="488" s="7" customFormat="1" ht="13.5" customHeight="1"/>
    <row r="489" s="7" customFormat="1" ht="13.5" customHeight="1"/>
    <row r="490" s="7" customFormat="1" ht="13.5" customHeight="1"/>
    <row r="491" s="7" customFormat="1" ht="13.5" customHeight="1"/>
    <row r="492" s="7" customFormat="1" ht="13.5" customHeight="1"/>
    <row r="493" s="7" customFormat="1" ht="13.5" customHeight="1"/>
    <row r="494" s="7" customFormat="1" ht="13.5" customHeight="1"/>
    <row r="495" s="7" customFormat="1" ht="13.5" customHeight="1"/>
    <row r="496" s="7" customFormat="1" ht="13.5" customHeight="1"/>
    <row r="497" s="7" customFormat="1" ht="13.5" customHeight="1"/>
    <row r="498" s="7" customFormat="1" ht="13.5" customHeight="1"/>
    <row r="499" s="7" customFormat="1" ht="13.5" customHeight="1"/>
    <row r="500" s="7" customFormat="1" ht="13.5" customHeight="1"/>
    <row r="501" s="7" customFormat="1" ht="13.5" customHeight="1"/>
    <row r="502" s="7" customFormat="1" ht="13.5" customHeight="1"/>
    <row r="503" s="7" customFormat="1" ht="13.5" customHeight="1"/>
    <row r="504" s="7" customFormat="1" ht="13.5" customHeight="1"/>
    <row r="505" s="7" customFormat="1" ht="13.5" customHeight="1"/>
    <row r="506" s="7" customFormat="1" ht="13.5" customHeight="1"/>
    <row r="507" s="7" customFormat="1" ht="13.5" customHeight="1"/>
    <row r="508" s="7" customFormat="1" ht="13.5" customHeight="1"/>
    <row r="509" s="7" customFormat="1" ht="13.5" customHeight="1"/>
    <row r="510" s="7" customFormat="1" ht="13.5" customHeight="1"/>
    <row r="511" s="7" customFormat="1" ht="13.5" customHeight="1"/>
    <row r="512" s="7" customFormat="1" ht="13.5" customHeight="1"/>
    <row r="513" s="7" customFormat="1" ht="13.5" customHeight="1"/>
    <row r="514" s="7" customFormat="1" ht="13.5" customHeight="1"/>
    <row r="515" s="7" customFormat="1" ht="13.5" customHeight="1"/>
    <row r="516" s="7" customFormat="1" ht="13.5" customHeight="1"/>
    <row r="517" s="7" customFormat="1" ht="13.5" customHeight="1"/>
    <row r="518" s="7" customFormat="1" ht="13.5" customHeight="1"/>
    <row r="519" s="7" customFormat="1" ht="13.5" customHeight="1"/>
    <row r="520" s="7" customFormat="1" ht="13.5" customHeight="1"/>
    <row r="521" s="7" customFormat="1" ht="13.5" customHeight="1"/>
    <row r="522" s="7" customFormat="1" ht="13.5" customHeight="1"/>
    <row r="523" s="7" customFormat="1" ht="13.5" customHeight="1"/>
    <row r="524" s="7" customFormat="1" ht="13.5" customHeight="1"/>
    <row r="525" s="7" customFormat="1" ht="13.5" customHeight="1"/>
    <row r="526" s="7" customFormat="1" ht="13.5" customHeight="1"/>
    <row r="527" s="7" customFormat="1" ht="13.5" customHeight="1"/>
    <row r="528" s="7" customFormat="1" ht="13.5" customHeight="1"/>
    <row r="529" s="7" customFormat="1" ht="13.5" customHeight="1"/>
    <row r="530" s="7" customFormat="1" ht="13.5" customHeight="1"/>
    <row r="531" s="7" customFormat="1" ht="13.5" customHeight="1"/>
    <row r="532" s="7" customFormat="1" ht="13.5" customHeight="1"/>
    <row r="533" s="7" customFormat="1" ht="13.5" customHeight="1"/>
    <row r="534" s="7" customFormat="1" ht="13.5" customHeight="1"/>
    <row r="535" s="7" customFormat="1" ht="13.5" customHeight="1"/>
    <row r="536" s="7" customFormat="1" ht="13.5" customHeight="1"/>
    <row r="537" s="7" customFormat="1" ht="13.5" customHeight="1"/>
    <row r="538" s="7" customFormat="1" ht="13.5" customHeight="1"/>
    <row r="539" s="7" customFormat="1" ht="13.5" customHeight="1"/>
    <row r="540" s="7" customFormat="1" ht="13.5" customHeight="1"/>
    <row r="541" s="7" customFormat="1" ht="13.5" customHeight="1"/>
    <row r="542" s="7" customFormat="1" ht="13.5" customHeight="1"/>
    <row r="543" s="7" customFormat="1" ht="13.5" customHeight="1"/>
    <row r="544" s="7" customFormat="1" ht="13.5" customHeight="1"/>
    <row r="545" s="7" customFormat="1" ht="13.5" customHeight="1"/>
    <row r="546" s="7" customFormat="1" ht="13.5" customHeight="1"/>
    <row r="547" s="7" customFormat="1" ht="13.5" customHeight="1"/>
    <row r="548" s="7" customFormat="1" ht="13.5" customHeight="1"/>
    <row r="549" s="7" customFormat="1" ht="13.5" customHeight="1"/>
    <row r="550" s="7" customFormat="1" ht="13.5" customHeight="1"/>
    <row r="551" s="7" customFormat="1" ht="13.5" customHeight="1"/>
    <row r="552" s="7" customFormat="1" ht="13.5" customHeight="1"/>
    <row r="553" s="7" customFormat="1" ht="13.5" customHeight="1"/>
    <row r="554" s="7" customFormat="1" ht="13.5" customHeight="1"/>
    <row r="555" s="7" customFormat="1" ht="13.5" customHeight="1"/>
    <row r="556" s="7" customFormat="1" ht="13.5" customHeight="1"/>
    <row r="557" s="7" customFormat="1" ht="13.5" customHeight="1"/>
    <row r="558" s="7" customFormat="1" ht="13.5" customHeight="1"/>
    <row r="559" s="7" customFormat="1" ht="13.5" customHeight="1"/>
    <row r="560" s="7" customFormat="1" ht="13.5" customHeight="1"/>
    <row r="561" s="7" customFormat="1" ht="13.5" customHeight="1"/>
    <row r="562" s="7" customFormat="1" ht="13.5" customHeight="1"/>
    <row r="563" s="7" customFormat="1" ht="13.5" customHeight="1"/>
    <row r="564" s="7" customFormat="1" ht="13.5" customHeight="1"/>
    <row r="565" s="7" customFormat="1" ht="13.5" customHeight="1"/>
    <row r="566" s="7" customFormat="1" ht="13.5" customHeight="1"/>
    <row r="567" s="7" customFormat="1" ht="13.5" customHeight="1"/>
    <row r="568" s="7" customFormat="1" ht="13.5" customHeight="1"/>
    <row r="569" s="7" customFormat="1" ht="13.5" customHeight="1"/>
    <row r="570" s="7" customFormat="1" ht="13.5" customHeight="1"/>
    <row r="571" s="7" customFormat="1" ht="13.5" customHeight="1"/>
    <row r="572" s="7" customFormat="1" ht="13.5" customHeight="1"/>
    <row r="573" s="7" customFormat="1" ht="13.5" customHeight="1"/>
    <row r="574" s="7" customFormat="1" ht="13.5" customHeight="1"/>
    <row r="575" s="7" customFormat="1" ht="13.5" customHeight="1"/>
    <row r="576" s="7" customFormat="1" ht="13.5" customHeight="1"/>
    <row r="577" s="7" customFormat="1" ht="13.5" customHeight="1"/>
    <row r="578" s="7" customFormat="1" ht="13.5" customHeight="1"/>
    <row r="579" s="7" customFormat="1" ht="13.5" customHeight="1"/>
    <row r="580" s="7" customFormat="1" ht="13.5" customHeight="1"/>
    <row r="581" s="7" customFormat="1" ht="13.5" customHeight="1"/>
    <row r="582" s="7" customFormat="1" ht="13.5" customHeight="1"/>
    <row r="583" s="7" customFormat="1" ht="13.5" customHeight="1"/>
    <row r="584" s="7" customFormat="1" ht="13.5" customHeight="1"/>
    <row r="585" s="7" customFormat="1" ht="13.5" customHeight="1"/>
    <row r="586" s="7" customFormat="1" ht="13.5" customHeight="1"/>
    <row r="587" s="7" customFormat="1" ht="13.5" customHeight="1"/>
    <row r="588" s="7" customFormat="1" ht="13.5" customHeight="1"/>
    <row r="589" s="7" customFormat="1" ht="13.5" customHeight="1"/>
    <row r="590" s="7" customFormat="1" ht="13.5" customHeight="1"/>
    <row r="591" s="7" customFormat="1" ht="13.5" customHeight="1"/>
    <row r="592" s="7" customFormat="1" ht="13.5" customHeight="1"/>
    <row r="593" s="7" customFormat="1" ht="13.5" customHeight="1"/>
    <row r="594" s="7" customFormat="1" ht="13.5" customHeight="1"/>
    <row r="595" s="7" customFormat="1" ht="13.5" customHeight="1"/>
    <row r="596" s="7" customFormat="1" ht="13.5" customHeight="1"/>
    <row r="597" s="7" customFormat="1" ht="13.5" customHeight="1"/>
    <row r="598" s="7" customFormat="1" ht="13.5" customHeight="1"/>
    <row r="599" s="7" customFormat="1" ht="13.5" customHeight="1"/>
    <row r="600" s="7" customFormat="1" ht="13.5" customHeight="1"/>
    <row r="601" s="7" customFormat="1" ht="13.5" customHeight="1"/>
    <row r="602" s="7" customFormat="1" ht="13.5" customHeight="1"/>
    <row r="603" s="7" customFormat="1" ht="13.5" customHeight="1"/>
    <row r="604" s="7" customFormat="1" ht="13.5" customHeight="1"/>
    <row r="605" s="7" customFormat="1" ht="13.5" customHeight="1"/>
    <row r="606" s="7" customFormat="1" ht="13.5" customHeight="1"/>
    <row r="607" s="7" customFormat="1" ht="13.5" customHeight="1"/>
    <row r="608" s="7" customFormat="1" ht="13.5" customHeight="1"/>
    <row r="609" s="7" customFormat="1" ht="13.5" customHeight="1"/>
    <row r="610" s="7" customFormat="1" ht="13.5" customHeight="1"/>
    <row r="611" s="7" customFormat="1" ht="13.5" customHeight="1"/>
    <row r="612" s="7" customFormat="1" ht="13.5" customHeight="1"/>
    <row r="613" s="7" customFormat="1" ht="13.5" customHeight="1"/>
    <row r="614" s="7" customFormat="1" ht="13.5" customHeight="1"/>
    <row r="615" s="7" customFormat="1" ht="13.5" customHeight="1"/>
    <row r="616" s="7" customFormat="1" ht="13.5" customHeight="1"/>
    <row r="617" s="7" customFormat="1" ht="13.5" customHeight="1"/>
    <row r="618" s="7" customFormat="1" ht="13.5" customHeight="1"/>
    <row r="619" s="7" customFormat="1" ht="13.5" customHeight="1"/>
    <row r="620" s="7" customFormat="1" ht="13.5" customHeight="1"/>
    <row r="621" s="7" customFormat="1" ht="13.5" customHeight="1"/>
    <row r="622" s="7" customFormat="1" ht="13.5" customHeight="1"/>
    <row r="623" s="7" customFormat="1" ht="13.5" customHeight="1"/>
    <row r="624" s="7" customFormat="1" ht="13.5" customHeight="1"/>
    <row r="625" s="7" customFormat="1" ht="13.5" customHeight="1"/>
    <row r="626" s="7" customFormat="1" ht="13.5" customHeight="1"/>
    <row r="627" s="7" customFormat="1" ht="13.5" customHeight="1"/>
    <row r="628" s="7" customFormat="1" ht="13.5" customHeight="1"/>
    <row r="629" s="7" customFormat="1" ht="13.5" customHeight="1"/>
    <row r="630" s="7" customFormat="1" ht="13.5" customHeight="1"/>
    <row r="631" s="7" customFormat="1" ht="13.5" customHeight="1"/>
    <row r="632" s="7" customFormat="1" ht="13.5" customHeight="1"/>
    <row r="633" s="7" customFormat="1" ht="13.5" customHeight="1"/>
    <row r="634" s="7" customFormat="1" ht="13.5" customHeight="1"/>
    <row r="635" s="7" customFormat="1" ht="13.5" customHeight="1"/>
    <row r="636" s="7" customFormat="1" ht="13.5" customHeight="1"/>
    <row r="637" s="7" customFormat="1" ht="13.5" customHeight="1"/>
    <row r="638" s="7" customFormat="1" ht="13.5" customHeight="1"/>
    <row r="639" s="7" customFormat="1" ht="13.5" customHeight="1"/>
    <row r="640" s="7" customFormat="1" ht="13.5" customHeight="1"/>
    <row r="641" s="7" customFormat="1" ht="13.5" customHeight="1"/>
    <row r="642" s="7" customFormat="1" ht="13.5" customHeight="1"/>
    <row r="643" s="7" customFormat="1" ht="13.5" customHeight="1"/>
    <row r="644" s="7" customFormat="1" ht="13.5" customHeight="1"/>
    <row r="645" s="7" customFormat="1" ht="13.5" customHeight="1"/>
    <row r="646" s="7" customFormat="1" ht="13.5" customHeight="1"/>
    <row r="647" s="7" customFormat="1" ht="13.5" customHeight="1"/>
    <row r="648" s="7" customFormat="1" ht="13.5" customHeight="1"/>
    <row r="649" s="7" customFormat="1" ht="13.5" customHeight="1"/>
    <row r="650" s="7" customFormat="1" ht="13.5" customHeight="1"/>
    <row r="651" s="7" customFormat="1" ht="13.5" customHeight="1"/>
    <row r="652" s="7" customFormat="1" ht="13.5" customHeight="1"/>
    <row r="653" s="7" customFormat="1" ht="13.5" customHeight="1"/>
    <row r="654" s="7" customFormat="1" ht="13.5" customHeight="1"/>
    <row r="655" s="7" customFormat="1" ht="13.5" customHeight="1"/>
    <row r="656" s="7" customFormat="1" ht="13.5" customHeight="1"/>
    <row r="657" s="7" customFormat="1" ht="13.5" customHeight="1"/>
    <row r="658" s="7" customFormat="1" ht="13.5" customHeight="1"/>
    <row r="659" s="7" customFormat="1" ht="13.5" customHeight="1"/>
    <row r="660" s="7" customFormat="1" ht="13.5" customHeight="1"/>
    <row r="661" s="7" customFormat="1" ht="13.5" customHeight="1"/>
    <row r="662" s="7" customFormat="1" ht="13.5" customHeight="1"/>
    <row r="663" s="7" customFormat="1" ht="13.5" customHeight="1"/>
    <row r="664" s="7" customFormat="1" ht="13.5" customHeight="1"/>
    <row r="665" s="7" customFormat="1" ht="13.5" customHeight="1"/>
    <row r="666" s="7" customFormat="1" ht="13.5" customHeight="1"/>
    <row r="667" s="7" customFormat="1" ht="13.5" customHeight="1"/>
    <row r="668" s="7" customFormat="1" ht="13.5" customHeight="1"/>
    <row r="669" s="7" customFormat="1" ht="13.5" customHeight="1"/>
    <row r="670" s="7" customFormat="1" ht="13.5" customHeight="1"/>
    <row r="671" s="7" customFormat="1" ht="13.5" customHeight="1"/>
    <row r="672" s="7" customFormat="1" ht="13.5" customHeight="1"/>
    <row r="673" s="7" customFormat="1" ht="13.5" customHeight="1"/>
    <row r="674" s="7" customFormat="1" ht="13.5" customHeight="1"/>
    <row r="675" s="7" customFormat="1" ht="13.5" customHeight="1"/>
    <row r="676" s="7" customFormat="1" ht="13.5" customHeight="1"/>
    <row r="677" s="7" customFormat="1" ht="13.5" customHeight="1"/>
    <row r="678" s="7" customFormat="1" ht="13.5" customHeight="1"/>
    <row r="679" s="7" customFormat="1" ht="13.5" customHeight="1"/>
    <row r="680" s="7" customFormat="1" ht="13.5" customHeight="1"/>
    <row r="681" s="7" customFormat="1" ht="13.5" customHeight="1"/>
    <row r="682" s="7" customFormat="1" ht="13.5" customHeight="1"/>
    <row r="683" s="7" customFormat="1" ht="13.5" customHeight="1"/>
    <row r="684" s="7" customFormat="1" ht="13.5" customHeight="1"/>
    <row r="685" s="7" customFormat="1" ht="13.5" customHeight="1"/>
    <row r="686" s="7" customFormat="1" ht="13.5" customHeight="1"/>
    <row r="687" s="7" customFormat="1" ht="13.5" customHeight="1"/>
    <row r="688" s="7" customFormat="1" ht="13.5" customHeight="1"/>
    <row r="689" s="7" customFormat="1" ht="13.5" customHeight="1"/>
    <row r="690" s="7" customFormat="1" ht="13.5" customHeight="1"/>
    <row r="691" s="7" customFormat="1" ht="13.5" customHeight="1"/>
    <row r="692" s="7" customFormat="1" ht="13.5" customHeight="1"/>
    <row r="693" s="7" customFormat="1" ht="13.5" customHeight="1"/>
    <row r="694" s="7" customFormat="1" ht="13.5" customHeight="1"/>
    <row r="695" s="7" customFormat="1" ht="13.5" customHeight="1"/>
    <row r="696" s="7" customFormat="1" ht="13.5" customHeight="1"/>
    <row r="697" s="7" customFormat="1" ht="13.5" customHeight="1"/>
    <row r="698" s="7" customFormat="1" ht="13.5" customHeight="1"/>
    <row r="699" s="7" customFormat="1" ht="13.5" customHeight="1"/>
    <row r="700" s="7" customFormat="1" ht="13.5" customHeight="1"/>
    <row r="701" s="7" customFormat="1" ht="13.5" customHeight="1"/>
    <row r="702" s="7" customFormat="1" ht="13.5" customHeight="1"/>
    <row r="703" s="7" customFormat="1" ht="13.5" customHeight="1"/>
    <row r="704" s="7" customFormat="1" ht="13.5" customHeight="1"/>
    <row r="705" s="7" customFormat="1" ht="13.5" customHeight="1"/>
    <row r="706" s="7" customFormat="1" ht="13.5" customHeight="1"/>
    <row r="707" s="7" customFormat="1" ht="13.5" customHeight="1"/>
    <row r="708" s="7" customFormat="1" ht="13.5" customHeight="1"/>
    <row r="709" s="7" customFormat="1" ht="13.5" customHeight="1"/>
    <row r="710" s="7" customFormat="1" ht="13.5" customHeight="1"/>
    <row r="711" s="7" customFormat="1" ht="13.5" customHeight="1"/>
    <row r="712" s="7" customFormat="1" ht="13.5" customHeight="1"/>
    <row r="713" s="7" customFormat="1" ht="13.5" customHeight="1"/>
    <row r="714" s="7" customFormat="1" ht="13.5" customHeight="1"/>
    <row r="715" s="7" customFormat="1" ht="13.5" customHeight="1"/>
    <row r="716" s="7" customFormat="1" ht="13.5" customHeight="1"/>
    <row r="717" s="7" customFormat="1" ht="13.5" customHeight="1"/>
    <row r="718" s="7" customFormat="1" ht="13.5" customHeight="1"/>
    <row r="719" s="7" customFormat="1" ht="13.5" customHeight="1"/>
    <row r="720" s="7" customFormat="1" ht="13.5" customHeight="1"/>
    <row r="721" s="7" customFormat="1" ht="13.5" customHeight="1"/>
    <row r="722" s="7" customFormat="1" ht="13.5" customHeight="1"/>
    <row r="723" s="7" customFormat="1" ht="13.5" customHeight="1"/>
    <row r="724" s="7" customFormat="1" ht="13.5" customHeight="1"/>
    <row r="725" s="7" customFormat="1" ht="13.5" customHeight="1"/>
    <row r="726" s="7" customFormat="1" ht="13.5" customHeight="1"/>
    <row r="727" s="7" customFormat="1" ht="13.5" customHeight="1"/>
    <row r="728" s="7" customFormat="1" ht="13.5" customHeight="1"/>
    <row r="729" s="7" customFormat="1" ht="13.5" customHeight="1"/>
    <row r="730" s="7" customFormat="1" ht="13.5" customHeight="1"/>
    <row r="731" s="7" customFormat="1" ht="13.5" customHeight="1"/>
    <row r="732" s="7" customFormat="1" ht="13.5" customHeight="1"/>
    <row r="733" s="7" customFormat="1" ht="13.5" customHeight="1"/>
    <row r="734" s="7" customFormat="1" ht="13.5" customHeight="1"/>
    <row r="735" s="7" customFormat="1" ht="13.5" customHeight="1"/>
    <row r="736" s="7" customFormat="1" ht="13.5" customHeight="1"/>
    <row r="737" s="7" customFormat="1" ht="13.5" customHeight="1"/>
    <row r="738" s="7" customFormat="1" ht="13.5" customHeight="1"/>
    <row r="739" s="7" customFormat="1" ht="13.5" customHeight="1"/>
    <row r="740" s="7" customFormat="1" ht="13.5" customHeight="1"/>
    <row r="741" s="7" customFormat="1" ht="13.5" customHeight="1"/>
    <row r="742" s="7" customFormat="1" ht="13.5" customHeight="1"/>
    <row r="743" s="7" customFormat="1" ht="13.5" customHeight="1"/>
    <row r="744" s="7" customFormat="1" ht="13.5" customHeight="1"/>
    <row r="745" s="7" customFormat="1" ht="13.5" customHeight="1"/>
    <row r="746" s="7" customFormat="1" ht="13.5" customHeight="1"/>
    <row r="747" s="7" customFormat="1" ht="13.5" customHeight="1"/>
    <row r="748" s="7" customFormat="1" ht="13.5" customHeight="1"/>
    <row r="749" s="7" customFormat="1" ht="13.5" customHeight="1"/>
    <row r="750" s="7" customFormat="1" ht="13.5" customHeight="1"/>
    <row r="751" s="7" customFormat="1" ht="13.5" customHeight="1"/>
    <row r="752" s="7" customFormat="1" ht="13.5" customHeight="1"/>
    <row r="753" s="7" customFormat="1" ht="13.5" customHeight="1"/>
    <row r="754" s="7" customFormat="1" ht="13.5" customHeight="1"/>
    <row r="755" s="7" customFormat="1" ht="13.5" customHeight="1"/>
    <row r="756" s="7" customFormat="1" ht="13.5" customHeight="1"/>
    <row r="757" s="7" customFormat="1" ht="13.5" customHeight="1"/>
    <row r="758" s="7" customFormat="1" ht="13.5" customHeight="1"/>
    <row r="759" s="7" customFormat="1" ht="13.5" customHeight="1"/>
    <row r="760" s="7" customFormat="1" ht="13.5" customHeight="1"/>
    <row r="761" s="7" customFormat="1" ht="13.5" customHeight="1"/>
    <row r="762" s="7" customFormat="1" ht="13.5" customHeight="1"/>
    <row r="763" s="7" customFormat="1" ht="13.5" customHeight="1"/>
    <row r="764" s="7" customFormat="1" ht="13.5" customHeight="1"/>
    <row r="765" s="7" customFormat="1" ht="13.5" customHeight="1"/>
    <row r="766" s="7" customFormat="1" ht="13.5" customHeight="1"/>
    <row r="767" s="7" customFormat="1" ht="13.5" customHeight="1"/>
    <row r="768" s="7" customFormat="1" ht="13.5" customHeight="1"/>
    <row r="769" s="7" customFormat="1" ht="13.5" customHeight="1"/>
    <row r="770" s="7" customFormat="1" ht="13.5" customHeight="1"/>
    <row r="771" s="7" customFormat="1" ht="13.5" customHeight="1"/>
    <row r="772" s="7" customFormat="1" ht="13.5" customHeight="1"/>
    <row r="773" s="7" customFormat="1" ht="13.5" customHeight="1"/>
    <row r="774" s="7" customFormat="1" ht="13.5" customHeight="1"/>
    <row r="775" s="7" customFormat="1" ht="13.5" customHeight="1"/>
    <row r="776" s="7" customFormat="1" ht="13.5" customHeight="1"/>
    <row r="777" s="7" customFormat="1" ht="13.5" customHeight="1"/>
    <row r="778" s="7" customFormat="1" ht="13.5" customHeight="1"/>
    <row r="779" s="7" customFormat="1" ht="13.5" customHeight="1"/>
    <row r="780" s="7" customFormat="1" ht="13.5" customHeight="1"/>
    <row r="781" s="7" customFormat="1" ht="13.5" customHeight="1"/>
    <row r="782" s="7" customFormat="1" ht="13.5" customHeight="1"/>
    <row r="783" s="7" customFormat="1" ht="13.5" customHeight="1"/>
    <row r="784" s="7" customFormat="1" ht="13.5" customHeight="1"/>
    <row r="785" s="7" customFormat="1" ht="13.5" customHeight="1"/>
    <row r="786" s="7" customFormat="1" ht="13.5" customHeight="1"/>
    <row r="787" s="7" customFormat="1" ht="13.5" customHeight="1"/>
    <row r="788" s="7" customFormat="1" ht="13.5" customHeight="1"/>
    <row r="789" s="7" customFormat="1" ht="13.5" customHeight="1"/>
    <row r="790" s="7" customFormat="1" ht="13.5" customHeight="1"/>
    <row r="791" s="7" customFormat="1" ht="13.5" customHeight="1"/>
    <row r="792" s="7" customFormat="1" ht="13.5" customHeight="1"/>
    <row r="793" s="7" customFormat="1" ht="13.5" customHeight="1"/>
    <row r="794" s="7" customFormat="1" ht="13.5" customHeight="1"/>
    <row r="795" s="7" customFormat="1" ht="13.5" customHeight="1"/>
    <row r="796" s="7" customFormat="1" ht="13.5" customHeight="1"/>
    <row r="797" s="7" customFormat="1" ht="13.5" customHeight="1"/>
    <row r="798" s="7" customFormat="1" ht="13.5" customHeight="1"/>
    <row r="799" s="7" customFormat="1" ht="13.5" customHeight="1"/>
    <row r="800" s="7" customFormat="1" ht="13.5" customHeight="1"/>
    <row r="801" s="7" customFormat="1" ht="13.5" customHeight="1"/>
    <row r="802" s="7" customFormat="1" ht="13.5" customHeight="1"/>
    <row r="803" s="7" customFormat="1" ht="13.5" customHeight="1"/>
    <row r="804" s="7" customFormat="1" ht="13.5" customHeight="1"/>
    <row r="805" s="7" customFormat="1" ht="13.5" customHeight="1"/>
    <row r="806" s="7" customFormat="1" ht="13.5" customHeight="1"/>
    <row r="807" s="7" customFormat="1" ht="13.5" customHeight="1"/>
    <row r="808" s="7" customFormat="1" ht="13.5" customHeight="1"/>
    <row r="809" s="7" customFormat="1" ht="13.5" customHeight="1"/>
    <row r="810" s="7" customFormat="1" ht="13.5" customHeight="1"/>
    <row r="811" s="7" customFormat="1" ht="13.5" customHeight="1"/>
    <row r="812" s="7" customFormat="1" ht="13.5" customHeight="1"/>
    <row r="813" s="7" customFormat="1" ht="13.5" customHeight="1"/>
    <row r="814" s="7" customFormat="1" ht="13.5" customHeight="1"/>
    <row r="815" s="7" customFormat="1" ht="13.5" customHeight="1"/>
    <row r="816" s="7" customFormat="1" ht="13.5" customHeight="1"/>
    <row r="817" s="7" customFormat="1" ht="13.5" customHeight="1"/>
    <row r="818" s="7" customFormat="1" ht="13.5" customHeight="1"/>
    <row r="819" s="7" customFormat="1" ht="13.5" customHeight="1"/>
    <row r="820" s="7" customFormat="1" ht="13.5" customHeight="1"/>
    <row r="821" s="7" customFormat="1" ht="13.5" customHeight="1"/>
    <row r="822" s="7" customFormat="1" ht="13.5" customHeight="1"/>
    <row r="823" s="7" customFormat="1" ht="13.5" customHeight="1"/>
    <row r="824" s="7" customFormat="1" ht="13.5" customHeight="1"/>
    <row r="825" s="7" customFormat="1" ht="13.5" customHeight="1"/>
    <row r="826" s="7" customFormat="1" ht="13.5" customHeight="1"/>
    <row r="827" s="7" customFormat="1" ht="13.5" customHeight="1"/>
    <row r="828" s="7" customFormat="1" ht="13.5" customHeight="1"/>
    <row r="829" s="7" customFormat="1" ht="13.5" customHeight="1"/>
    <row r="830" s="7" customFormat="1" ht="13.5" customHeight="1"/>
    <row r="831" s="7" customFormat="1" ht="13.5" customHeight="1"/>
    <row r="832" s="7" customFormat="1" ht="13.5" customHeight="1"/>
    <row r="833" s="7" customFormat="1" ht="13.5" customHeight="1"/>
    <row r="834" s="7" customFormat="1" ht="13.5" customHeight="1"/>
    <row r="835" s="7" customFormat="1" ht="13.5" customHeight="1"/>
    <row r="836" s="7" customFormat="1" ht="13.5" customHeight="1"/>
    <row r="837" s="7" customFormat="1" ht="13.5" customHeight="1"/>
    <row r="838" s="7" customFormat="1" ht="13.5" customHeight="1"/>
    <row r="839" s="7" customFormat="1" ht="13.5" customHeight="1"/>
    <row r="840" s="7" customFormat="1" ht="13.5" customHeight="1"/>
    <row r="841" s="7" customFormat="1" ht="13.5" customHeight="1"/>
    <row r="842" s="7" customFormat="1" ht="13.5" customHeight="1"/>
    <row r="843" s="7" customFormat="1" ht="13.5" customHeight="1"/>
    <row r="844" s="7" customFormat="1" ht="13.5" customHeight="1"/>
    <row r="845" s="7" customFormat="1" ht="13.5" customHeight="1"/>
    <row r="846" s="7" customFormat="1" ht="13.5" customHeight="1"/>
    <row r="847" s="7" customFormat="1" ht="13.5" customHeight="1"/>
    <row r="848" s="7" customFormat="1" ht="13.5" customHeight="1"/>
    <row r="849" s="7" customFormat="1" ht="13.5" customHeight="1"/>
    <row r="850" s="7" customFormat="1" ht="13.5" customHeight="1"/>
    <row r="851" s="7" customFormat="1" ht="13.5" customHeight="1"/>
    <row r="852" s="7" customFormat="1" ht="13.5" customHeight="1"/>
    <row r="853" s="7" customFormat="1" ht="13.5" customHeight="1"/>
    <row r="854" s="7" customFormat="1" ht="13.5" customHeight="1"/>
    <row r="855" s="7" customFormat="1" ht="13.5" customHeight="1"/>
    <row r="856" s="7" customFormat="1" ht="13.5" customHeight="1"/>
    <row r="857" s="7" customFormat="1" ht="13.5" customHeight="1"/>
    <row r="858" s="7" customFormat="1" ht="13.5" customHeight="1"/>
    <row r="859" s="7" customFormat="1" ht="13.5" customHeight="1"/>
    <row r="860" s="7" customFormat="1" ht="13.5" customHeight="1"/>
    <row r="861" s="7" customFormat="1" ht="13.5" customHeight="1"/>
    <row r="862" s="7" customFormat="1" ht="13.5" customHeight="1"/>
    <row r="863" s="7" customFormat="1" ht="13.5" customHeight="1"/>
    <row r="864" s="7" customFormat="1" ht="13.5" customHeight="1"/>
    <row r="865" s="7" customFormat="1" ht="13.5" customHeight="1"/>
    <row r="866" s="7" customFormat="1" ht="13.5" customHeight="1"/>
    <row r="867" s="7" customFormat="1" ht="13.5" customHeight="1"/>
    <row r="868" s="7" customFormat="1" ht="13.5" customHeight="1"/>
    <row r="869" s="7" customFormat="1" ht="13.5" customHeight="1"/>
    <row r="870" s="7" customFormat="1" ht="13.5" customHeight="1"/>
    <row r="871" s="7" customFormat="1" ht="13.5" customHeight="1"/>
    <row r="872" s="7" customFormat="1" ht="13.5" customHeight="1"/>
    <row r="873" s="7" customFormat="1" ht="13.5" customHeight="1"/>
    <row r="874" s="7" customFormat="1" ht="13.5" customHeight="1"/>
    <row r="875" s="7" customFormat="1" ht="13.5" customHeight="1"/>
    <row r="876" s="7" customFormat="1" ht="13.5" customHeight="1"/>
    <row r="877" s="7" customFormat="1" ht="13.5" customHeight="1"/>
    <row r="878" s="7" customFormat="1" ht="13.5" customHeight="1"/>
    <row r="879" s="7" customFormat="1" ht="13.5" customHeight="1"/>
    <row r="880" s="7" customFormat="1" ht="13.5" customHeight="1"/>
    <row r="881" s="7" customFormat="1" ht="13.5" customHeight="1"/>
    <row r="882" s="7" customFormat="1" ht="13.5" customHeight="1"/>
    <row r="883" s="7" customFormat="1" ht="13.5" customHeight="1"/>
    <row r="884" s="7" customFormat="1" ht="13.5" customHeight="1"/>
    <row r="885" s="7" customFormat="1" ht="13.5" customHeight="1"/>
    <row r="886" s="7" customFormat="1" ht="13.5" customHeight="1"/>
    <row r="887" s="7" customFormat="1" ht="13.5" customHeight="1"/>
    <row r="888" s="7" customFormat="1" ht="13.5" customHeight="1"/>
    <row r="889" s="7" customFormat="1" ht="13.5" customHeight="1"/>
    <row r="890" s="7" customFormat="1" ht="13.5" customHeight="1"/>
    <row r="891" s="7" customFormat="1" ht="13.5" customHeight="1"/>
    <row r="892" s="7" customFormat="1" ht="13.5" customHeight="1"/>
    <row r="893" s="7" customFormat="1" ht="13.5" customHeight="1"/>
    <row r="894" s="7" customFormat="1" ht="13.5" customHeight="1"/>
    <row r="895" s="7" customFormat="1" ht="13.5" customHeight="1"/>
    <row r="896" s="7" customFormat="1" ht="13.5" customHeight="1"/>
    <row r="897" s="7" customFormat="1" ht="13.5" customHeight="1"/>
    <row r="898" s="7" customFormat="1" ht="13.5" customHeight="1"/>
    <row r="899" s="7" customFormat="1" ht="13.5" customHeight="1"/>
    <row r="900" s="7" customFormat="1" ht="13.5" customHeight="1"/>
    <row r="901" s="7" customFormat="1" ht="13.5" customHeight="1"/>
    <row r="902" s="7" customFormat="1" ht="13.5" customHeight="1"/>
    <row r="903" s="7" customFormat="1" ht="13.5" customHeight="1"/>
    <row r="904" s="7" customFormat="1" ht="13.5" customHeight="1"/>
    <row r="905" s="7" customFormat="1" ht="13.5" customHeight="1"/>
    <row r="906" s="7" customFormat="1" ht="13.5" customHeight="1"/>
    <row r="907" s="7" customFormat="1" ht="13.5" customHeight="1"/>
    <row r="908" s="7" customFormat="1" ht="13.5" customHeight="1"/>
    <row r="909" s="7" customFormat="1" ht="13.5" customHeight="1"/>
    <row r="910" s="7" customFormat="1" ht="13.5" customHeight="1"/>
    <row r="911" s="7" customFormat="1" ht="13.5" customHeight="1"/>
    <row r="912" s="7" customFormat="1" ht="13.5" customHeight="1"/>
    <row r="913" s="7" customFormat="1" ht="13.5" customHeight="1"/>
    <row r="914" s="7" customFormat="1" ht="13.5" customHeight="1"/>
    <row r="915" s="7" customFormat="1" ht="13.5" customHeight="1"/>
    <row r="916" s="7" customFormat="1" ht="13.5" customHeight="1"/>
    <row r="917" s="7" customFormat="1" ht="13.5" customHeight="1"/>
    <row r="918" s="7" customFormat="1" ht="13.5" customHeight="1"/>
    <row r="919" s="7" customFormat="1" ht="13.5" customHeight="1"/>
    <row r="920" s="7" customFormat="1" ht="13.5" customHeight="1"/>
    <row r="921" s="7" customFormat="1" ht="13.5" customHeight="1"/>
    <row r="922" s="7" customFormat="1" ht="13.5" customHeight="1"/>
    <row r="923" s="7" customFormat="1" ht="13.5" customHeight="1"/>
    <row r="924" s="7" customFormat="1" ht="13.5" customHeight="1"/>
    <row r="925" s="7" customFormat="1" ht="13.5" customHeight="1"/>
    <row r="926" s="7" customFormat="1" ht="13.5" customHeight="1"/>
    <row r="927" s="7" customFormat="1" ht="13.5" customHeight="1"/>
    <row r="928" s="7" customFormat="1" ht="13.5" customHeight="1"/>
    <row r="929" s="7" customFormat="1" ht="13.5" customHeight="1"/>
    <row r="930" s="7" customFormat="1" ht="13.5" customHeight="1"/>
    <row r="931" s="7" customFormat="1" ht="13.5" customHeight="1"/>
    <row r="932" s="7" customFormat="1" ht="13.5" customHeight="1"/>
    <row r="933" s="7" customFormat="1" ht="13.5" customHeight="1"/>
    <row r="934" s="7" customFormat="1" ht="13.5" customHeight="1"/>
    <row r="935" s="7" customFormat="1" ht="13.5" customHeight="1"/>
    <row r="936" s="7" customFormat="1" ht="13.5" customHeight="1"/>
    <row r="937" s="7" customFormat="1" ht="13.5" customHeight="1"/>
    <row r="938" s="7" customFormat="1" ht="13.5" customHeight="1"/>
    <row r="939" s="7" customFormat="1" ht="13.5" customHeight="1"/>
    <row r="940" s="7" customFormat="1" ht="13.5" customHeight="1"/>
    <row r="941" s="7" customFormat="1" ht="13.5" customHeight="1"/>
    <row r="942" s="7" customFormat="1" ht="13.5" customHeight="1"/>
    <row r="943" s="7" customFormat="1" ht="13.5" customHeight="1"/>
    <row r="944" s="7" customFormat="1" ht="13.5" customHeight="1"/>
    <row r="945" s="7" customFormat="1" ht="13.5" customHeight="1"/>
    <row r="946" s="7" customFormat="1" ht="13.5" customHeight="1"/>
    <row r="947" s="7" customFormat="1" ht="13.5" customHeight="1"/>
    <row r="948" s="7" customFormat="1" ht="13.5" customHeight="1"/>
    <row r="949" s="7" customFormat="1" ht="13.5" customHeight="1"/>
    <row r="950" s="7" customFormat="1" ht="13.5" customHeight="1"/>
    <row r="951" s="7" customFormat="1" ht="13.5" customHeight="1"/>
    <row r="952" s="7" customFormat="1" ht="13.5" customHeight="1"/>
    <row r="953" s="7" customFormat="1" ht="13.5" customHeight="1"/>
    <row r="954" s="7" customFormat="1" ht="13.5" customHeight="1"/>
    <row r="955" s="7" customFormat="1" ht="13.5" customHeight="1"/>
    <row r="956" s="7" customFormat="1" ht="13.5" customHeight="1"/>
    <row r="957" s="7" customFormat="1" ht="13.5" customHeight="1"/>
    <row r="958" s="7" customFormat="1" ht="13.5" customHeight="1"/>
    <row r="959" s="7" customFormat="1" ht="13.5" customHeight="1"/>
    <row r="960" s="7" customFormat="1" ht="13.5" customHeight="1"/>
    <row r="961" s="7" customFormat="1" ht="13.5" customHeight="1"/>
    <row r="962" s="7" customFormat="1" ht="13.5" customHeight="1"/>
    <row r="963" s="7" customFormat="1" ht="13.5" customHeight="1"/>
    <row r="964" s="7" customFormat="1" ht="13.5" customHeight="1"/>
    <row r="965" s="7" customFormat="1" ht="13.5" customHeight="1"/>
    <row r="966" s="7" customFormat="1" ht="13.5" customHeight="1"/>
    <row r="967" s="7" customFormat="1" ht="13.5" customHeight="1"/>
    <row r="968" s="7" customFormat="1" ht="13.5" customHeight="1"/>
    <row r="969" s="7" customFormat="1" ht="13.5" customHeight="1"/>
    <row r="970" s="7" customFormat="1" ht="13.5" customHeight="1"/>
    <row r="971" s="7" customFormat="1" ht="13.5" customHeight="1"/>
    <row r="972" s="7" customFormat="1" ht="13.5" customHeight="1"/>
    <row r="973" s="7" customFormat="1" ht="13.5" customHeight="1"/>
    <row r="974" s="7" customFormat="1" ht="13.5" customHeight="1"/>
    <row r="975" s="7" customFormat="1" ht="13.5" customHeight="1"/>
    <row r="976" s="7" customFormat="1" ht="13.5" customHeight="1"/>
    <row r="977" s="7" customFormat="1" ht="13.5" customHeight="1"/>
    <row r="978" s="7" customFormat="1" ht="13.5" customHeight="1"/>
    <row r="979" s="7" customFormat="1" ht="13.5" customHeight="1"/>
    <row r="980" s="7" customFormat="1" ht="13.5" customHeight="1"/>
    <row r="981" s="7" customFormat="1" ht="13.5" customHeight="1"/>
    <row r="982" s="7" customFormat="1" ht="13.5" customHeight="1"/>
    <row r="983" s="7" customFormat="1" ht="13.5" customHeight="1"/>
    <row r="984" s="7" customFormat="1" ht="13.5" customHeight="1"/>
    <row r="985" s="7" customFormat="1" ht="13.5" customHeight="1"/>
    <row r="986" s="7" customFormat="1" ht="13.5" customHeight="1"/>
    <row r="987" s="7" customFormat="1" ht="13.5" customHeight="1"/>
    <row r="988" s="7" customFormat="1" ht="13.5" customHeight="1"/>
    <row r="989" s="7" customFormat="1" ht="13.5" customHeight="1"/>
    <row r="990" s="7" customFormat="1" ht="13.5" customHeight="1"/>
    <row r="991" s="7" customFormat="1" ht="13.5" customHeight="1"/>
    <row r="992" s="7" customFormat="1" ht="13.5" customHeight="1"/>
    <row r="993" s="7" customFormat="1" ht="13.5" customHeight="1"/>
    <row r="994" s="7" customFormat="1" ht="13.5" customHeight="1"/>
    <row r="995" s="7" customFormat="1" ht="13.5" customHeight="1"/>
    <row r="996" s="7" customFormat="1" ht="13.5" customHeight="1"/>
    <row r="997" s="7" customFormat="1" ht="13.5" customHeight="1"/>
    <row r="998" s="7" customFormat="1" ht="13.5" customHeight="1"/>
    <row r="999" s="7" customFormat="1" ht="13.5" customHeight="1"/>
    <row r="1000" s="7" customFormat="1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5.1</vt:lpstr>
      <vt:lpstr>Table 5.2</vt:lpstr>
      <vt:lpstr>Table 5.3</vt:lpstr>
      <vt:lpstr>Table 5.4</vt:lpstr>
      <vt:lpstr>Table 5.5</vt:lpstr>
      <vt:lpstr>Table 5.6</vt:lpstr>
      <vt:lpstr>Table 5.7</vt:lpstr>
      <vt:lpstr>Table 5.8</vt:lpstr>
      <vt:lpstr>Table 5.9</vt:lpstr>
      <vt:lpstr>Table 5.10</vt:lpstr>
      <vt:lpstr>Table 5.11</vt:lpstr>
      <vt:lpstr>Table 5.12</vt:lpstr>
      <vt:lpstr>Table 5.13</vt:lpstr>
      <vt:lpstr>Table 5.14</vt:lpstr>
      <vt:lpstr>Table 5.15</vt:lpstr>
      <vt:lpstr>Table 5.16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O.</dc:creator>
  <cp:lastModifiedBy>Araap Kemboi</cp:lastModifiedBy>
  <dcterms:created xsi:type="dcterms:W3CDTF">2025-04-13T08:38:07Z</dcterms:created>
  <dcterms:modified xsi:type="dcterms:W3CDTF">2026-05-28T19:52:18Z</dcterms:modified>
</cp:coreProperties>
</file>